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MARTINEZ S\Desktop\UCB\2025-2\Arquitectura de Computadoras\Parcial 2 Proyecto\Proyecto\"/>
    </mc:Choice>
  </mc:AlternateContent>
  <xr:revisionPtr revIDLastSave="0" documentId="13_ncr:1_{54F5841B-EFFD-4C2B-8D20-D04FF82C79F4}" xr6:coauthVersionLast="47" xr6:coauthVersionMax="47" xr10:uidLastSave="{00000000-0000-0000-0000-000000000000}"/>
  <bookViews>
    <workbookView xWindow="-108" yWindow="-108" windowWidth="23256" windowHeight="12456" tabRatio="307" xr2:uid="{65C8B2DC-2200-42C6-BC45-92FAF9D86A59}"/>
  </bookViews>
  <sheets>
    <sheet name="Simulador_x86" sheetId="1" r:id="rId1"/>
    <sheet name="Entrada y Salida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W14" i="1" l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" i="1"/>
  <c r="W7" i="1"/>
  <c r="W8" i="1"/>
  <c r="W9" i="1"/>
  <c r="W10" i="1"/>
  <c r="W11" i="1"/>
  <c r="W12" i="1"/>
  <c r="W13" i="1"/>
  <c r="W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5" i="1"/>
  <c r="AC3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</calcChain>
</file>

<file path=xl/sharedStrings.xml><?xml version="1.0" encoding="utf-8"?>
<sst xmlns="http://schemas.openxmlformats.org/spreadsheetml/2006/main" count="185" uniqueCount="82">
  <si>
    <t>Registros</t>
  </si>
  <si>
    <t>EAX</t>
  </si>
  <si>
    <t>EBX</t>
  </si>
  <si>
    <t>ECX</t>
  </si>
  <si>
    <t>EDX</t>
  </si>
  <si>
    <t>General</t>
  </si>
  <si>
    <t>ESP</t>
  </si>
  <si>
    <t>EBP</t>
  </si>
  <si>
    <t>ESI</t>
  </si>
  <si>
    <t>EDI</t>
  </si>
  <si>
    <t>EIP</t>
  </si>
  <si>
    <t>Puntero</t>
  </si>
  <si>
    <t>Estado</t>
  </si>
  <si>
    <t>EFLAGS</t>
  </si>
  <si>
    <t>Contador</t>
  </si>
  <si>
    <t>Unidad de Control (UC)</t>
  </si>
  <si>
    <t>IR</t>
  </si>
  <si>
    <t>Reloj</t>
  </si>
  <si>
    <t>Contador de Paso de Control</t>
  </si>
  <si>
    <t>Unidad Aritmetico-Logica (ALU)</t>
  </si>
  <si>
    <t>Registro 1</t>
  </si>
  <si>
    <t>Registro 2</t>
  </si>
  <si>
    <t>Acumulador</t>
  </si>
  <si>
    <t>Unidad Central de Procesamiento (CPU)</t>
  </si>
  <si>
    <t>Salida</t>
  </si>
  <si>
    <t>Caché L1</t>
  </si>
  <si>
    <t>Caché L2</t>
  </si>
  <si>
    <t>Memoria RAM</t>
  </si>
  <si>
    <t>Memoria Virtual</t>
  </si>
  <si>
    <t>Disco de Almacenamiento (SSD)</t>
  </si>
  <si>
    <t>Memoria Secundaria</t>
  </si>
  <si>
    <t>Memoria Principal</t>
  </si>
  <si>
    <t>0x00000048</t>
  </si>
  <si>
    <t>0x00000049</t>
  </si>
  <si>
    <t>0x0000004A</t>
  </si>
  <si>
    <t>0x0000004B</t>
  </si>
  <si>
    <t>0x0000004C</t>
  </si>
  <si>
    <t>0x0000004D</t>
  </si>
  <si>
    <t>Operación Elegida</t>
  </si>
  <si>
    <t>Monitor</t>
  </si>
  <si>
    <t>Impresora</t>
  </si>
  <si>
    <t>Teclado</t>
  </si>
  <si>
    <t>Ratón</t>
  </si>
  <si>
    <t>Éscaner</t>
  </si>
  <si>
    <t>Joystick</t>
  </si>
  <si>
    <t>Pinchimono</t>
  </si>
  <si>
    <t>Hello world</t>
  </si>
  <si>
    <t>Entradas</t>
  </si>
  <si>
    <t>Escaner</t>
  </si>
  <si>
    <t>Mouse</t>
  </si>
  <si>
    <t>Pantalla</t>
  </si>
  <si>
    <t>"10111000"</t>
  </si>
  <si>
    <t>"00000000"</t>
  </si>
  <si>
    <t>ZF=0 SF=0 OF=0 CF=0</t>
  </si>
  <si>
    <t>"10001001"</t>
  </si>
  <si>
    <t>"00001000"</t>
  </si>
  <si>
    <t>"11000000"</t>
  </si>
  <si>
    <t>LRU - PANEL DIDACTICO</t>
  </si>
  <si>
    <t>TAG</t>
  </si>
  <si>
    <t>RESULT</t>
  </si>
  <si>
    <t>LEVEL</t>
  </si>
  <si>
    <t>ACTION</t>
  </si>
  <si>
    <t>VICTIM</t>
  </si>
  <si>
    <t>RES</t>
  </si>
  <si>
    <t>LVL</t>
  </si>
  <si>
    <t>ACT</t>
  </si>
  <si>
    <t>Salida Visual: 65 ('A')</t>
  </si>
  <si>
    <t>MISS</t>
  </si>
  <si>
    <t>NONE</t>
  </si>
  <si>
    <t>Not found</t>
  </si>
  <si>
    <t>WRITE BACK</t>
  </si>
  <si>
    <t>"01001001"</t>
  </si>
  <si>
    <t>"01010010"</t>
  </si>
  <si>
    <t>MOV PANTALLA, EAX</t>
  </si>
  <si>
    <t>ADDR_10</t>
  </si>
  <si>
    <t>ADDR_11</t>
  </si>
  <si>
    <t>ADDR_12</t>
  </si>
  <si>
    <t>ADDR_13</t>
  </si>
  <si>
    <t>ADDR_14</t>
  </si>
  <si>
    <t>"01000001"</t>
  </si>
  <si>
    <t>"01000010"</t>
  </si>
  <si>
    <t>0000007C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</si>
</sst>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000000"/>
      <name val="Calibri"/>
      <family val="2"/>
    </font>
    <font>
      <sz val="36"/>
      <color rgb="FF000000"/>
      <name val="Calibri"/>
      <family val="2"/>
    </font>
    <font>
      <sz val="28"/>
      <color rgb="FF000000"/>
      <name val="Calibri"/>
      <family val="2"/>
    </font>
    <font>
      <sz val="24"/>
      <color rgb="FF000000"/>
      <name val="Calibri"/>
      <family val="2"/>
    </font>
    <font>
      <sz val="28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4" fillId="4" borderId="0" xfId="0" applyFont="1" applyFill="1"/>
    <xf numFmtId="0" fontId="0" fillId="4" borderId="0" xfId="0" applyFill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4" fillId="3" borderId="1" xfId="0" applyFont="1" applyFill="1" applyBorder="1" applyAlignment="1">
      <alignment horizontal="center"/>
    </xf>
    <xf numFmtId="0" fontId="2" fillId="0" borderId="0" xfId="0" applyFont="1"/>
    <xf numFmtId="0" fontId="0" fillId="5" borderId="17" xfId="0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0" fontId="0" fillId="5" borderId="19" xfId="0" applyFill="1" applyBorder="1" applyAlignment="1">
      <alignment vertical="center"/>
    </xf>
    <xf numFmtId="0" fontId="0" fillId="9" borderId="17" xfId="0" applyFill="1" applyBorder="1" applyAlignment="1">
      <alignment horizontal="left" vertical="center"/>
    </xf>
    <xf numFmtId="0" fontId="0" fillId="9" borderId="18" xfId="0" applyFill="1" applyBorder="1" applyAlignment="1">
      <alignment horizontal="left" vertical="center"/>
    </xf>
    <xf numFmtId="0" fontId="0" fillId="9" borderId="19" xfId="0" applyFill="1" applyBorder="1" applyAlignment="1">
      <alignment horizontal="left" vertical="center"/>
    </xf>
    <xf numFmtId="0" fontId="2" fillId="0" borderId="8" xfId="0" applyFont="1" applyBorder="1"/>
    <xf numFmtId="0" fontId="0" fillId="11" borderId="17" xfId="0" applyFill="1" applyBorder="1"/>
    <xf numFmtId="0" fontId="1" fillId="0" borderId="18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0" fillId="13" borderId="26" xfId="0" applyFill="1" applyBorder="1"/>
    <xf numFmtId="0" fontId="0" fillId="13" borderId="30" xfId="0" applyFill="1" applyBorder="1"/>
    <xf numFmtId="0" fontId="0" fillId="13" borderId="29" xfId="0" applyFill="1" applyBorder="1"/>
    <xf numFmtId="0" fontId="0" fillId="13" borderId="27" xfId="0" applyFill="1" applyBorder="1"/>
    <xf numFmtId="0" fontId="0" fillId="13" borderId="32" xfId="0" applyFill="1" applyBorder="1"/>
    <xf numFmtId="0" fontId="0" fillId="13" borderId="33" xfId="0" applyFill="1" applyBorder="1"/>
    <xf numFmtId="0" fontId="0" fillId="13" borderId="28" xfId="0" applyFill="1" applyBorder="1"/>
    <xf numFmtId="0" fontId="0" fillId="10" borderId="25" xfId="0" applyFill="1" applyBorder="1"/>
    <xf numFmtId="0" fontId="4" fillId="0" borderId="0" xfId="0" applyFont="1"/>
    <xf numFmtId="0" fontId="3" fillId="0" borderId="0" xfId="0" applyFont="1" applyAlignment="1">
      <alignment vertical="center"/>
    </xf>
    <xf numFmtId="0" fontId="4" fillId="0" borderId="8" xfId="0" applyFont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19" borderId="1" xfId="0" applyFill="1" applyBorder="1"/>
    <xf numFmtId="0" fontId="4" fillId="12" borderId="8" xfId="0" applyFont="1" applyFill="1" applyBorder="1"/>
    <xf numFmtId="0" fontId="4" fillId="12" borderId="0" xfId="0" applyFont="1" applyFill="1"/>
    <xf numFmtId="0" fontId="4" fillId="12" borderId="9" xfId="0" applyFont="1" applyFill="1" applyBorder="1"/>
    <xf numFmtId="0" fontId="4" fillId="12" borderId="10" xfId="0" applyFont="1" applyFill="1" applyBorder="1"/>
    <xf numFmtId="0" fontId="4" fillId="12" borderId="11" xfId="0" applyFont="1" applyFill="1" applyBorder="1"/>
    <xf numFmtId="0" fontId="4" fillId="12" borderId="12" xfId="0" applyFont="1" applyFill="1" applyBorder="1"/>
    <xf numFmtId="0" fontId="0" fillId="12" borderId="8" xfId="0" applyFill="1" applyBorder="1"/>
    <xf numFmtId="0" fontId="0" fillId="12" borderId="0" xfId="0" applyFill="1"/>
    <xf numFmtId="0" fontId="0" fillId="12" borderId="9" xfId="0" applyFill="1" applyBorder="1"/>
    <xf numFmtId="0" fontId="0" fillId="12" borderId="10" xfId="0" applyFill="1" applyBorder="1"/>
    <xf numFmtId="0" fontId="0" fillId="12" borderId="11" xfId="0" applyFill="1" applyBorder="1"/>
    <xf numFmtId="0" fontId="0" fillId="12" borderId="12" xfId="0" applyFill="1" applyBorder="1"/>
    <xf numFmtId="0" fontId="4" fillId="20" borderId="8" xfId="0" applyFont="1" applyFill="1" applyBorder="1"/>
    <xf numFmtId="0" fontId="4" fillId="20" borderId="0" xfId="0" applyFont="1" applyFill="1"/>
    <xf numFmtId="0" fontId="4" fillId="20" borderId="9" xfId="0" applyFont="1" applyFill="1" applyBorder="1"/>
    <xf numFmtId="0" fontId="0" fillId="20" borderId="8" xfId="0" applyFill="1" applyBorder="1"/>
    <xf numFmtId="0" fontId="0" fillId="20" borderId="0" xfId="0" applyFill="1"/>
    <xf numFmtId="0" fontId="0" fillId="20" borderId="9" xfId="0" applyFill="1" applyBorder="1"/>
    <xf numFmtId="0" fontId="0" fillId="20" borderId="10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14" borderId="8" xfId="0" applyFill="1" applyBorder="1"/>
    <xf numFmtId="0" fontId="0" fillId="14" borderId="0" xfId="0" applyFill="1"/>
    <xf numFmtId="0" fontId="0" fillId="14" borderId="9" xfId="0" applyFill="1" applyBorder="1"/>
    <xf numFmtId="0" fontId="0" fillId="14" borderId="10" xfId="0" applyFill="1" applyBorder="1"/>
    <xf numFmtId="0" fontId="0" fillId="14" borderId="11" xfId="0" applyFill="1" applyBorder="1"/>
    <xf numFmtId="0" fontId="0" fillId="14" borderId="12" xfId="0" applyFill="1" applyBorder="1"/>
    <xf numFmtId="0" fontId="0" fillId="0" borderId="25" xfId="0" applyBorder="1"/>
    <xf numFmtId="0" fontId="2" fillId="0" borderId="25" xfId="0" applyFont="1" applyBorder="1"/>
    <xf numFmtId="0" fontId="0" fillId="0" borderId="34" xfId="0" applyBorder="1"/>
    <xf numFmtId="0" fontId="0" fillId="0" borderId="23" xfId="0" applyBorder="1"/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/>
    </xf>
    <xf numFmtId="0" fontId="4" fillId="21" borderId="3" xfId="0" applyFont="1" applyFill="1" applyBorder="1" applyAlignment="1">
      <alignment horizontal="center"/>
    </xf>
    <xf numFmtId="0" fontId="4" fillId="21" borderId="4" xfId="0" applyFont="1" applyFill="1" applyBorder="1" applyAlignment="1">
      <alignment horizontal="center"/>
    </xf>
    <xf numFmtId="0" fontId="4" fillId="15" borderId="2" xfId="0" applyFont="1" applyFill="1" applyBorder="1" applyAlignment="1">
      <alignment horizontal="center"/>
    </xf>
    <xf numFmtId="0" fontId="4" fillId="15" borderId="3" xfId="0" applyFont="1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3" fillId="8" borderId="10" xfId="0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15" borderId="25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4" borderId="30" xfId="0" applyFill="1" applyBorder="1"/>
    <xf numFmtId="0" fontId="0" fillId="4" borderId="29" xfId="0" applyFill="1" applyBorder="1"/>
    <xf numFmtId="0" fontId="0" fillId="4" borderId="32" xfId="0" applyFill="1" applyBorder="1"/>
    <xf numFmtId="0" fontId="0" fillId="4" borderId="28" xfId="0" applyFill="1" applyBorder="1"/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6" borderId="25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18" borderId="25" xfId="0" applyFill="1" applyBorder="1" applyAlignment="1">
      <alignment horizontal="center" vertical="center"/>
    </xf>
    <xf numFmtId="0" fontId="0" fillId="0" borderId="30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17" borderId="25" xfId="0" applyFill="1" applyBorder="1" applyAlignment="1">
      <alignment horizontal="center"/>
    </xf>
    <xf numFmtId="0" fontId="0" fillId="16" borderId="25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4" borderId="30" xfId="0" applyFill="1" applyBorder="1" applyAlignment="1">
      <alignment horizontal="left" vertical="top"/>
    </xf>
    <xf numFmtId="0" fontId="0" fillId="4" borderId="29" xfId="0" applyFill="1" applyBorder="1" applyAlignment="1">
      <alignment horizontal="left" vertical="top"/>
    </xf>
    <xf numFmtId="0" fontId="0" fillId="4" borderId="26" xfId="0" applyFill="1" applyBorder="1" applyAlignment="1">
      <alignment horizontal="left" vertical="top"/>
    </xf>
    <xf numFmtId="0" fontId="0" fillId="4" borderId="27" xfId="0" applyFill="1" applyBorder="1" applyAlignment="1">
      <alignment horizontal="left" vertical="top"/>
    </xf>
    <xf numFmtId="0" fontId="0" fillId="4" borderId="32" xfId="0" applyFill="1" applyBorder="1" applyAlignment="1">
      <alignment horizontal="left" vertical="top"/>
    </xf>
    <xf numFmtId="0" fontId="0" fillId="4" borderId="28" xfId="0" applyFill="1" applyBorder="1" applyAlignment="1">
      <alignment horizontal="left" vertical="top"/>
    </xf>
    <xf numFmtId="0" fontId="0" fillId="0" borderId="1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2" fillId="0" borderId="39" xfId="0" applyFont="1" applyBorder="1"/>
    <xf numFmtId="0" fontId="0" fillId="0" borderId="40" xfId="0" applyBorder="1"/>
    <xf numFmtId="0" fontId="0" fillId="5" borderId="25" xfId="0" applyFill="1" applyBorder="1"/>
    <xf numFmtId="0" fontId="1" fillId="0" borderId="14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14" xfId="0" applyFont="1" applyFill="1" applyBorder="1"/>
    <xf numFmtId="0" fontId="1" fillId="0" borderId="15" xfId="0" applyFont="1" applyFill="1" applyBorder="1"/>
    <xf numFmtId="0" fontId="1" fillId="0" borderId="16" xfId="0" applyFont="1" applyFill="1" applyBorder="1"/>
    <xf numFmtId="0" fontId="1" fillId="0" borderId="24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0" fillId="0" borderId="34" xfId="0" applyFill="1" applyBorder="1"/>
    <xf numFmtId="0" fontId="0" fillId="0" borderId="23" xfId="0" applyFill="1" applyBorder="1"/>
    <xf numFmtId="0" fontId="0" fillId="0" borderId="15" xfId="0" applyFill="1" applyBorder="1"/>
    <xf numFmtId="0" fontId="1" fillId="0" borderId="14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left"/>
    </xf>
    <xf numFmtId="0" fontId="1" fillId="3" borderId="20" xfId="0" applyFont="1" applyFill="1" applyBorder="1"/>
    <xf numFmtId="0" fontId="1" fillId="3" borderId="35" xfId="0" applyFont="1" applyFill="1" applyBorder="1"/>
    <xf numFmtId="0" fontId="1" fillId="3" borderId="14" xfId="0" applyFont="1" applyFill="1" applyBorder="1"/>
    <xf numFmtId="0" fontId="1" fillId="5" borderId="36" xfId="0" applyFont="1" applyFill="1" applyBorder="1"/>
    <xf numFmtId="0" fontId="1" fillId="5" borderId="25" xfId="0" applyFont="1" applyFill="1" applyBorder="1"/>
    <xf numFmtId="0" fontId="0" fillId="5" borderId="37" xfId="0" applyFill="1" applyBorder="1"/>
    <xf numFmtId="0" fontId="16" fillId="0" borderId="5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F7F7F7"/>
      <color rgb="FFEAEAEA"/>
      <color rgb="FFDEF4FE"/>
      <color rgb="FFA4DEF8"/>
      <color rgb="FFFFCCCC"/>
      <color rgb="FFFF7C80"/>
      <color rgb="FFFF9999"/>
      <color rgb="FFD6D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445480</xdr:colOff>
      <xdr:row>24</xdr:row>
      <xdr:rowOff>132860</xdr:rowOff>
    </xdr:from>
    <xdr:to>
      <xdr:col>7</xdr:col>
      <xdr:colOff>410308</xdr:colOff>
      <xdr:row>33</xdr:row>
      <xdr:rowOff>29306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402018" y="5134706"/>
          <a:ext cx="1547444" cy="163536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Decodificador/</a:t>
          </a:r>
          <a:r>
            <a:rPr lang="es-ES" sz="1600" baseline="0">
              <a:solidFill>
                <a:schemeClr val="tx1"/>
              </a:solidFill>
            </a:rPr>
            <a:t> Codificador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705340</xdr:colOff>
      <xdr:row>25</xdr:row>
      <xdr:rowOff>21491</xdr:rowOff>
    </xdr:from>
    <xdr:to>
      <xdr:col>9</xdr:col>
      <xdr:colOff>670169</xdr:colOff>
      <xdr:row>28</xdr:row>
      <xdr:rowOff>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44494" y="5140568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Banderas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701432</xdr:colOff>
      <xdr:row>29</xdr:row>
      <xdr:rowOff>66430</xdr:rowOff>
    </xdr:from>
    <xdr:to>
      <xdr:col>9</xdr:col>
      <xdr:colOff>666261</xdr:colOff>
      <xdr:row>32</xdr:row>
      <xdr:rowOff>103554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40586" y="5996353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Codigos</a:t>
          </a:r>
          <a:r>
            <a:rPr lang="es-ES" sz="1400" baseline="0">
              <a:solidFill>
                <a:schemeClr val="tx1"/>
              </a:solidFill>
            </a:rPr>
            <a:t>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156307</xdr:colOff>
      <xdr:row>19</xdr:row>
      <xdr:rowOff>107462</xdr:rowOff>
    </xdr:from>
    <xdr:to>
      <xdr:col>7</xdr:col>
      <xdr:colOff>29306</xdr:colOff>
      <xdr:row>24</xdr:row>
      <xdr:rowOff>87923</xdr:rowOff>
    </xdr:to>
    <xdr:sp macro="" textlink="">
      <xdr:nvSpPr>
        <xdr:cNvPr id="8" name="Flecha: hacia abaj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04153" y="4142154"/>
          <a:ext cx="664307" cy="947615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40055</xdr:colOff>
      <xdr:row>17</xdr:row>
      <xdr:rowOff>977</xdr:rowOff>
    </xdr:from>
    <xdr:to>
      <xdr:col>5</xdr:col>
      <xdr:colOff>771773</xdr:colOff>
      <xdr:row>19</xdr:row>
      <xdr:rowOff>9769</xdr:rowOff>
    </xdr:to>
    <xdr:sp macro="" textlink="">
      <xdr:nvSpPr>
        <xdr:cNvPr id="9" name="Flecha: hacia abaj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4143133" y="3459283"/>
          <a:ext cx="438638" cy="731718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463208</xdr:colOff>
      <xdr:row>25</xdr:row>
      <xdr:rowOff>28164</xdr:rowOff>
    </xdr:from>
    <xdr:to>
      <xdr:col>7</xdr:col>
      <xdr:colOff>647055</xdr:colOff>
      <xdr:row>28</xdr:row>
      <xdr:rowOff>81165</xdr:rowOff>
    </xdr:to>
    <xdr:sp macro="" textlink="">
      <xdr:nvSpPr>
        <xdr:cNvPr id="10" name="Flecha: hacia abaj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>
          <a:off x="5781567" y="5466975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461586</xdr:colOff>
      <xdr:row>29</xdr:row>
      <xdr:rowOff>18436</xdr:rowOff>
    </xdr:from>
    <xdr:to>
      <xdr:col>7</xdr:col>
      <xdr:colOff>645433</xdr:colOff>
      <xdr:row>32</xdr:row>
      <xdr:rowOff>128183</xdr:rowOff>
    </xdr:to>
    <xdr:sp macro="" textlink="">
      <xdr:nvSpPr>
        <xdr:cNvPr id="11" name="Flecha: hacia abaj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5400000">
          <a:off x="5779945" y="6267886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40533</xdr:colOff>
      <xdr:row>26</xdr:row>
      <xdr:rowOff>89169</xdr:rowOff>
    </xdr:from>
    <xdr:to>
      <xdr:col>5</xdr:col>
      <xdr:colOff>421533</xdr:colOff>
      <xdr:row>29</xdr:row>
      <xdr:rowOff>134064</xdr:rowOff>
    </xdr:to>
    <xdr:sp macro="" textlink="">
      <xdr:nvSpPr>
        <xdr:cNvPr id="12" name="Flecha: hacia abaj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16200000">
          <a:off x="3868617" y="5615851"/>
          <a:ext cx="669087" cy="3810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405319</xdr:colOff>
      <xdr:row>33</xdr:row>
      <xdr:rowOff>72957</xdr:rowOff>
    </xdr:from>
    <xdr:to>
      <xdr:col>10</xdr:col>
      <xdr:colOff>412102</xdr:colOff>
      <xdr:row>42</xdr:row>
      <xdr:rowOff>81065</xdr:rowOff>
    </xdr:to>
    <xdr:sp macro="" textlink="">
      <xdr:nvSpPr>
        <xdr:cNvPr id="27" name="Forma en L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785972" y="7156447"/>
          <a:ext cx="3832334" cy="1819802"/>
        </a:xfrm>
        <a:prstGeom prst="corner">
          <a:avLst>
            <a:gd name="adj1" fmla="val 11644"/>
            <a:gd name="adj2" fmla="val 14382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1904999</xdr:colOff>
      <xdr:row>20</xdr:row>
      <xdr:rowOff>77266</xdr:rowOff>
    </xdr:from>
    <xdr:to>
      <xdr:col>16</xdr:col>
      <xdr:colOff>111013</xdr:colOff>
      <xdr:row>27</xdr:row>
      <xdr:rowOff>115454</xdr:rowOff>
    </xdr:to>
    <xdr:sp macro="" textlink="">
      <xdr:nvSpPr>
        <xdr:cNvPr id="28" name="Diagrama de flujo: operación manual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586356" y="4513195"/>
          <a:ext cx="3839371" cy="1344473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10000"/>
            <a:gd name="connsiteY0" fmla="*/ 0 h 10000"/>
            <a:gd name="connsiteX1" fmla="*/ 5205 w 10000"/>
            <a:gd name="connsiteY1" fmla="*/ 5087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2000 w 10000"/>
            <a:gd name="connsiteY4" fmla="*/ 10000 h 10000"/>
            <a:gd name="connsiteX5" fmla="*/ 0 w 10000"/>
            <a:gd name="connsiteY5" fmla="*/ 0 h 10000"/>
            <a:gd name="connsiteX0" fmla="*/ 0 w 10000"/>
            <a:gd name="connsiteY0" fmla="*/ 712 h 10712"/>
            <a:gd name="connsiteX1" fmla="*/ 3566 w 10000"/>
            <a:gd name="connsiteY1" fmla="*/ 943 h 10712"/>
            <a:gd name="connsiteX2" fmla="*/ 5205 w 10000"/>
            <a:gd name="connsiteY2" fmla="*/ 5799 h 10712"/>
            <a:gd name="connsiteX3" fmla="*/ 10000 w 10000"/>
            <a:gd name="connsiteY3" fmla="*/ 712 h 10712"/>
            <a:gd name="connsiteX4" fmla="*/ 8000 w 10000"/>
            <a:gd name="connsiteY4" fmla="*/ 10712 h 10712"/>
            <a:gd name="connsiteX5" fmla="*/ 2000 w 10000"/>
            <a:gd name="connsiteY5" fmla="*/ 10712 h 10712"/>
            <a:gd name="connsiteX6" fmla="*/ 0 w 10000"/>
            <a:gd name="connsiteY6" fmla="*/ 712 h 10712"/>
            <a:gd name="connsiteX0" fmla="*/ 0 w 10000"/>
            <a:gd name="connsiteY0" fmla="*/ 566 h 10566"/>
            <a:gd name="connsiteX1" fmla="*/ 3566 w 10000"/>
            <a:gd name="connsiteY1" fmla="*/ 797 h 10566"/>
            <a:gd name="connsiteX2" fmla="*/ 5205 w 10000"/>
            <a:gd name="connsiteY2" fmla="*/ 5653 h 10566"/>
            <a:gd name="connsiteX3" fmla="*/ 10000 w 10000"/>
            <a:gd name="connsiteY3" fmla="*/ 566 h 10566"/>
            <a:gd name="connsiteX4" fmla="*/ 8000 w 10000"/>
            <a:gd name="connsiteY4" fmla="*/ 10566 h 10566"/>
            <a:gd name="connsiteX5" fmla="*/ 2000 w 10000"/>
            <a:gd name="connsiteY5" fmla="*/ 10566 h 10566"/>
            <a:gd name="connsiteX6" fmla="*/ 0 w 10000"/>
            <a:gd name="connsiteY6" fmla="*/ 566 h 10566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5 w 10005"/>
            <a:gd name="connsiteY0" fmla="*/ 200 h 10200"/>
            <a:gd name="connsiteX1" fmla="*/ 1726 w 10005"/>
            <a:gd name="connsiteY1" fmla="*/ 373 h 10200"/>
            <a:gd name="connsiteX2" fmla="*/ 3571 w 10005"/>
            <a:gd name="connsiteY2" fmla="*/ 431 h 10200"/>
            <a:gd name="connsiteX3" fmla="*/ 5210 w 10005"/>
            <a:gd name="connsiteY3" fmla="*/ 5287 h 10200"/>
            <a:gd name="connsiteX4" fmla="*/ 10005 w 10005"/>
            <a:gd name="connsiteY4" fmla="*/ 200 h 10200"/>
            <a:gd name="connsiteX5" fmla="*/ 8005 w 10005"/>
            <a:gd name="connsiteY5" fmla="*/ 10200 h 10200"/>
            <a:gd name="connsiteX6" fmla="*/ 2005 w 10005"/>
            <a:gd name="connsiteY6" fmla="*/ 10200 h 10200"/>
            <a:gd name="connsiteX7" fmla="*/ 5 w 10005"/>
            <a:gd name="connsiteY7" fmla="*/ 200 h 102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182 h 10182"/>
            <a:gd name="connsiteX1" fmla="*/ 1726 w 10005"/>
            <a:gd name="connsiteY1" fmla="*/ 355 h 10182"/>
            <a:gd name="connsiteX2" fmla="*/ 3607 w 10005"/>
            <a:gd name="connsiteY2" fmla="*/ 330 h 10182"/>
            <a:gd name="connsiteX3" fmla="*/ 5210 w 10005"/>
            <a:gd name="connsiteY3" fmla="*/ 5269 h 10182"/>
            <a:gd name="connsiteX4" fmla="*/ 10005 w 10005"/>
            <a:gd name="connsiteY4" fmla="*/ 182 h 10182"/>
            <a:gd name="connsiteX5" fmla="*/ 8005 w 10005"/>
            <a:gd name="connsiteY5" fmla="*/ 10182 h 10182"/>
            <a:gd name="connsiteX6" fmla="*/ 2005 w 10005"/>
            <a:gd name="connsiteY6" fmla="*/ 10182 h 10182"/>
            <a:gd name="connsiteX7" fmla="*/ 5 w 10005"/>
            <a:gd name="connsiteY7" fmla="*/ 182 h 10182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14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558 h 10558"/>
            <a:gd name="connsiteX1" fmla="*/ 1746 w 10025"/>
            <a:gd name="connsiteY1" fmla="*/ 662 h 10558"/>
            <a:gd name="connsiteX2" fmla="*/ 3627 w 10025"/>
            <a:gd name="connsiteY2" fmla="*/ 637 h 10558"/>
            <a:gd name="connsiteX3" fmla="*/ 5242 w 10025"/>
            <a:gd name="connsiteY3" fmla="*/ 5645 h 10558"/>
            <a:gd name="connsiteX4" fmla="*/ 6531 w 10025"/>
            <a:gd name="connsiteY4" fmla="*/ 1204 h 10558"/>
            <a:gd name="connsiteX5" fmla="*/ 10025 w 10025"/>
            <a:gd name="connsiteY5" fmla="*/ 558 h 10558"/>
            <a:gd name="connsiteX6" fmla="*/ 8025 w 10025"/>
            <a:gd name="connsiteY6" fmla="*/ 10558 h 10558"/>
            <a:gd name="connsiteX7" fmla="*/ 2025 w 10025"/>
            <a:gd name="connsiteY7" fmla="*/ 10558 h 10558"/>
            <a:gd name="connsiteX8" fmla="*/ 25 w 10025"/>
            <a:gd name="connsiteY8" fmla="*/ 558 h 10558"/>
            <a:gd name="connsiteX0" fmla="*/ 25 w 9977"/>
            <a:gd name="connsiteY0" fmla="*/ 256 h 10256"/>
            <a:gd name="connsiteX1" fmla="*/ 1746 w 9977"/>
            <a:gd name="connsiteY1" fmla="*/ 360 h 10256"/>
            <a:gd name="connsiteX2" fmla="*/ 3627 w 9977"/>
            <a:gd name="connsiteY2" fmla="*/ 335 h 10256"/>
            <a:gd name="connsiteX3" fmla="*/ 5242 w 9977"/>
            <a:gd name="connsiteY3" fmla="*/ 5343 h 10256"/>
            <a:gd name="connsiteX4" fmla="*/ 6531 w 9977"/>
            <a:gd name="connsiteY4" fmla="*/ 902 h 10256"/>
            <a:gd name="connsiteX5" fmla="*/ 9977 w 9977"/>
            <a:gd name="connsiteY5" fmla="*/ 652 h 10256"/>
            <a:gd name="connsiteX6" fmla="*/ 8025 w 9977"/>
            <a:gd name="connsiteY6" fmla="*/ 10256 h 10256"/>
            <a:gd name="connsiteX7" fmla="*/ 2025 w 9977"/>
            <a:gd name="connsiteY7" fmla="*/ 10256 h 10256"/>
            <a:gd name="connsiteX8" fmla="*/ 25 w 9977"/>
            <a:gd name="connsiteY8" fmla="*/ 256 h 10256"/>
            <a:gd name="connsiteX0" fmla="*/ 25 w 10003"/>
            <a:gd name="connsiteY0" fmla="*/ 0 h 9750"/>
            <a:gd name="connsiteX1" fmla="*/ 1750 w 10003"/>
            <a:gd name="connsiteY1" fmla="*/ 101 h 9750"/>
            <a:gd name="connsiteX2" fmla="*/ 3635 w 10003"/>
            <a:gd name="connsiteY2" fmla="*/ 77 h 9750"/>
            <a:gd name="connsiteX3" fmla="*/ 5254 w 10003"/>
            <a:gd name="connsiteY3" fmla="*/ 4960 h 9750"/>
            <a:gd name="connsiteX4" fmla="*/ 6546 w 10003"/>
            <a:gd name="connsiteY4" fmla="*/ 629 h 9750"/>
            <a:gd name="connsiteX5" fmla="*/ 10000 w 10003"/>
            <a:gd name="connsiteY5" fmla="*/ 386 h 9750"/>
            <a:gd name="connsiteX6" fmla="*/ 8044 w 10003"/>
            <a:gd name="connsiteY6" fmla="*/ 9750 h 9750"/>
            <a:gd name="connsiteX7" fmla="*/ 2030 w 10003"/>
            <a:gd name="connsiteY7" fmla="*/ 9750 h 9750"/>
            <a:gd name="connsiteX8" fmla="*/ 25 w 10003"/>
            <a:gd name="connsiteY8" fmla="*/ 0 h 9750"/>
            <a:gd name="connsiteX0" fmla="*/ 25 w 9999"/>
            <a:gd name="connsiteY0" fmla="*/ 0 h 10000"/>
            <a:gd name="connsiteX1" fmla="*/ 1749 w 9999"/>
            <a:gd name="connsiteY1" fmla="*/ 104 h 10000"/>
            <a:gd name="connsiteX2" fmla="*/ 3634 w 9999"/>
            <a:gd name="connsiteY2" fmla="*/ 79 h 10000"/>
            <a:gd name="connsiteX3" fmla="*/ 5252 w 9999"/>
            <a:gd name="connsiteY3" fmla="*/ 5087 h 10000"/>
            <a:gd name="connsiteX4" fmla="*/ 6411 w 9999"/>
            <a:gd name="connsiteY4" fmla="*/ 267 h 10000"/>
            <a:gd name="connsiteX5" fmla="*/ 9997 w 9999"/>
            <a:gd name="connsiteY5" fmla="*/ 396 h 10000"/>
            <a:gd name="connsiteX6" fmla="*/ 8042 w 9999"/>
            <a:gd name="connsiteY6" fmla="*/ 10000 h 10000"/>
            <a:gd name="connsiteX7" fmla="*/ 2029 w 9999"/>
            <a:gd name="connsiteY7" fmla="*/ 10000 h 10000"/>
            <a:gd name="connsiteX8" fmla="*/ 25 w 9999"/>
            <a:gd name="connsiteY8" fmla="*/ 0 h 10000"/>
            <a:gd name="connsiteX0" fmla="*/ 25 w 10000"/>
            <a:gd name="connsiteY0" fmla="*/ 0 h 10000"/>
            <a:gd name="connsiteX1" fmla="*/ 1749 w 10000"/>
            <a:gd name="connsiteY1" fmla="*/ 104 h 10000"/>
            <a:gd name="connsiteX2" fmla="*/ 3634 w 10000"/>
            <a:gd name="connsiteY2" fmla="*/ 79 h 10000"/>
            <a:gd name="connsiteX3" fmla="*/ 5253 w 10000"/>
            <a:gd name="connsiteY3" fmla="*/ 5087 h 10000"/>
            <a:gd name="connsiteX4" fmla="*/ 6412 w 10000"/>
            <a:gd name="connsiteY4" fmla="*/ 267 h 10000"/>
            <a:gd name="connsiteX5" fmla="*/ 9998 w 10000"/>
            <a:gd name="connsiteY5" fmla="*/ 241 h 10000"/>
            <a:gd name="connsiteX6" fmla="*/ 8043 w 10000"/>
            <a:gd name="connsiteY6" fmla="*/ 10000 h 10000"/>
            <a:gd name="connsiteX7" fmla="*/ 2029 w 10000"/>
            <a:gd name="connsiteY7" fmla="*/ 10000 h 10000"/>
            <a:gd name="connsiteX8" fmla="*/ 25 w 10000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002" h="10000">
              <a:moveTo>
                <a:pt x="25" y="0"/>
              </a:moveTo>
              <a:cubicBezTo>
                <a:pt x="-76" y="134"/>
                <a:pt x="57" y="32"/>
                <a:pt x="1749" y="104"/>
              </a:cubicBezTo>
              <a:lnTo>
                <a:pt x="3634" y="79"/>
              </a:lnTo>
              <a:cubicBezTo>
                <a:pt x="5284" y="5046"/>
                <a:pt x="3674" y="82"/>
                <a:pt x="5253" y="5087"/>
              </a:cubicBezTo>
              <a:cubicBezTo>
                <a:pt x="6447" y="189"/>
                <a:pt x="5276" y="5105"/>
                <a:pt x="6412" y="267"/>
              </a:cubicBezTo>
              <a:cubicBezTo>
                <a:pt x="10032" y="210"/>
                <a:pt x="10024" y="154"/>
                <a:pt x="9998" y="241"/>
              </a:cubicBezTo>
              <a:lnTo>
                <a:pt x="8043" y="10000"/>
              </a:lnTo>
              <a:lnTo>
                <a:pt x="2029" y="10000"/>
              </a:lnTo>
              <a:lnTo>
                <a:pt x="25" y="0"/>
              </a:lnTo>
              <a:close/>
            </a:path>
          </a:pathLst>
        </a:cu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100"/>
        </a:p>
        <a:p>
          <a:pPr algn="ctr"/>
          <a:endParaRPr lang="es-ES" sz="1100"/>
        </a:p>
        <a:p>
          <a:pPr algn="ctr"/>
          <a:r>
            <a:rPr lang="es-ES" sz="1400">
              <a:solidFill>
                <a:schemeClr val="tx1"/>
              </a:solidFill>
            </a:rPr>
            <a:t>Selector de Operaciones</a:t>
          </a:r>
        </a:p>
      </xdr:txBody>
    </xdr:sp>
    <xdr:clientData/>
  </xdr:twoCellAnchor>
  <xdr:twoCellAnchor>
    <xdr:from>
      <xdr:col>13</xdr:col>
      <xdr:colOff>937122</xdr:colOff>
      <xdr:row>30</xdr:row>
      <xdr:rowOff>103909</xdr:rowOff>
    </xdr:from>
    <xdr:to>
      <xdr:col>14</xdr:col>
      <xdr:colOff>402607</xdr:colOff>
      <xdr:row>33</xdr:row>
      <xdr:rowOff>123803</xdr:rowOff>
    </xdr:to>
    <xdr:sp macro="" textlink="">
      <xdr:nvSpPr>
        <xdr:cNvPr id="29" name="Flecha: hacia abaj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2392522" y="6568209"/>
          <a:ext cx="468785" cy="553294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152400</xdr:colOff>
      <xdr:row>15</xdr:row>
      <xdr:rowOff>70341</xdr:rowOff>
    </xdr:from>
    <xdr:to>
      <xdr:col>15</xdr:col>
      <xdr:colOff>413656</xdr:colOff>
      <xdr:row>41</xdr:row>
      <xdr:rowOff>166488</xdr:rowOff>
    </xdr:to>
    <xdr:sp macro="" textlink="">
      <xdr:nvSpPr>
        <xdr:cNvPr id="30" name="Forma en L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>
          <a:off x="7570005" y="3800988"/>
          <a:ext cx="5276466" cy="4231340"/>
        </a:xfrm>
        <a:prstGeom prst="corner">
          <a:avLst>
            <a:gd name="adj1" fmla="val 4831"/>
            <a:gd name="adj2" fmla="val 4047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257139</xdr:colOff>
      <xdr:row>15</xdr:row>
      <xdr:rowOff>92054</xdr:rowOff>
    </xdr:from>
    <xdr:to>
      <xdr:col>12</xdr:col>
      <xdr:colOff>547170</xdr:colOff>
      <xdr:row>17</xdr:row>
      <xdr:rowOff>184228</xdr:rowOff>
    </xdr:to>
    <xdr:sp macro="" textlink="">
      <xdr:nvSpPr>
        <xdr:cNvPr id="31" name="Flecha: hacia abaj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274514" y="3536929"/>
          <a:ext cx="290031" cy="465237"/>
        </a:xfrm>
        <a:prstGeom prst="downArrow">
          <a:avLst>
            <a:gd name="adj1" fmla="val 50000"/>
            <a:gd name="adj2" fmla="val 43176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264957</xdr:colOff>
      <xdr:row>15</xdr:row>
      <xdr:rowOff>69624</xdr:rowOff>
    </xdr:from>
    <xdr:to>
      <xdr:col>15</xdr:col>
      <xdr:colOff>534587</xdr:colOff>
      <xdr:row>17</xdr:row>
      <xdr:rowOff>172891</xdr:rowOff>
    </xdr:to>
    <xdr:sp macro="" textlink="">
      <xdr:nvSpPr>
        <xdr:cNvPr id="33" name="Flecha: hacia abaj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4030870" y="3496960"/>
          <a:ext cx="269630" cy="475948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323069</xdr:colOff>
      <xdr:row>13</xdr:row>
      <xdr:rowOff>221676</xdr:rowOff>
    </xdr:from>
    <xdr:to>
      <xdr:col>12</xdr:col>
      <xdr:colOff>217713</xdr:colOff>
      <xdr:row>23</xdr:row>
      <xdr:rowOff>150593</xdr:rowOff>
    </xdr:to>
    <xdr:sp macro="" textlink="">
      <xdr:nvSpPr>
        <xdr:cNvPr id="35" name="Forma en L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 flipH="1">
          <a:off x="9886351" y="3293739"/>
          <a:ext cx="1979390" cy="1903553"/>
        </a:xfrm>
        <a:prstGeom prst="corner">
          <a:avLst>
            <a:gd name="adj1" fmla="val 14261"/>
            <a:gd name="adj2" fmla="val 14073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166253</xdr:colOff>
      <xdr:row>8</xdr:row>
      <xdr:rowOff>138546</xdr:rowOff>
    </xdr:from>
    <xdr:to>
      <xdr:col>11</xdr:col>
      <xdr:colOff>720435</xdr:colOff>
      <xdr:row>21</xdr:row>
      <xdr:rowOff>99934</xdr:rowOff>
    </xdr:to>
    <xdr:sp macro="" textlink="">
      <xdr:nvSpPr>
        <xdr:cNvPr id="36" name="Flecha: hacia abaj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10800000">
          <a:off x="9767453" y="2230582"/>
          <a:ext cx="554182" cy="2538334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428426</xdr:colOff>
      <xdr:row>11</xdr:row>
      <xdr:rowOff>41563</xdr:rowOff>
    </xdr:from>
    <xdr:to>
      <xdr:col>7</xdr:col>
      <xdr:colOff>498763</xdr:colOff>
      <xdr:row>12</xdr:row>
      <xdr:rowOff>125820</xdr:rowOff>
    </xdr:to>
    <xdr:sp macro="" textlink="">
      <xdr:nvSpPr>
        <xdr:cNvPr id="37" name="Flecha: hacia abaj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10800000">
          <a:off x="4382200" y="2658242"/>
          <a:ext cx="1651846" cy="27116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21</xdr:col>
      <xdr:colOff>86212</xdr:colOff>
      <xdr:row>84</xdr:row>
      <xdr:rowOff>224783</xdr:rowOff>
    </xdr:from>
    <xdr:to>
      <xdr:col>26</xdr:col>
      <xdr:colOff>665019</xdr:colOff>
      <xdr:row>90</xdr:row>
      <xdr:rowOff>90824</xdr:rowOff>
    </xdr:to>
    <xdr:sp macro="" textlink="">
      <xdr:nvSpPr>
        <xdr:cNvPr id="39" name="Flecha: hacia abaj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16200000">
          <a:off x="21466867" y="15808055"/>
          <a:ext cx="1279205" cy="4527352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21</xdr:col>
      <xdr:colOff>92363</xdr:colOff>
      <xdr:row>18</xdr:row>
      <xdr:rowOff>207817</xdr:rowOff>
    </xdr:from>
    <xdr:to>
      <xdr:col>21</xdr:col>
      <xdr:colOff>692727</xdr:colOff>
      <xdr:row>23</xdr:row>
      <xdr:rowOff>80818</xdr:rowOff>
    </xdr:to>
    <xdr:sp macro="" textlink="">
      <xdr:nvSpPr>
        <xdr:cNvPr id="43" name="Flecha: a la izquierda y derecha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6821727" y="4040908"/>
          <a:ext cx="600364" cy="900546"/>
        </a:xfrm>
        <a:prstGeom prst="leftRightArrow">
          <a:avLst>
            <a:gd name="adj1" fmla="val 29294"/>
            <a:gd name="adj2" fmla="val 2288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464128</xdr:colOff>
      <xdr:row>38</xdr:row>
      <xdr:rowOff>16894</xdr:rowOff>
    </xdr:from>
    <xdr:to>
      <xdr:col>32</xdr:col>
      <xdr:colOff>325581</xdr:colOff>
      <xdr:row>59</xdr:row>
      <xdr:rowOff>15071</xdr:rowOff>
    </xdr:to>
    <xdr:sp macro="" textlink="">
      <xdr:nvSpPr>
        <xdr:cNvPr id="46" name="Flecha: a la izquierda y der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4968444" y="8158262"/>
          <a:ext cx="1465663" cy="3908441"/>
        </a:xfrm>
        <a:prstGeom prst="leftRightArrow">
          <a:avLst>
            <a:gd name="adj1" fmla="val 35092"/>
            <a:gd name="adj2" fmla="val 2988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25</xdr:col>
      <xdr:colOff>44825</xdr:colOff>
      <xdr:row>9</xdr:row>
      <xdr:rowOff>168089</xdr:rowOff>
    </xdr:from>
    <xdr:to>
      <xdr:col>26</xdr:col>
      <xdr:colOff>750795</xdr:colOff>
      <xdr:row>37</xdr:row>
      <xdr:rowOff>156882</xdr:rowOff>
    </xdr:to>
    <xdr:sp macro="" textlink="">
      <xdr:nvSpPr>
        <xdr:cNvPr id="32" name="Flecha: a la izquierda y derecha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9935266" y="2420471"/>
          <a:ext cx="1501588" cy="5490882"/>
        </a:xfrm>
        <a:prstGeom prst="leftRightArrow">
          <a:avLst>
            <a:gd name="adj1" fmla="val 31743"/>
            <a:gd name="adj2" fmla="val 3002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280503</xdr:colOff>
      <xdr:row>43</xdr:row>
      <xdr:rowOff>22752</xdr:rowOff>
    </xdr:from>
    <xdr:to>
      <xdr:col>6</xdr:col>
      <xdr:colOff>761998</xdr:colOff>
      <xdr:row>50</xdr:row>
      <xdr:rowOff>36722</xdr:rowOff>
    </xdr:to>
    <xdr:sp macro="" textlink="">
      <xdr:nvSpPr>
        <xdr:cNvPr id="40" name="Flecha: hacia abaj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10800000">
          <a:off x="5017756" y="9093306"/>
          <a:ext cx="481495" cy="1299271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541868</xdr:colOff>
      <xdr:row>68</xdr:row>
      <xdr:rowOff>75279</xdr:rowOff>
    </xdr:from>
    <xdr:to>
      <xdr:col>14</xdr:col>
      <xdr:colOff>302456</xdr:colOff>
      <xdr:row>75</xdr:row>
      <xdr:rowOff>178907</xdr:rowOff>
    </xdr:to>
    <xdr:sp macro="" textlink="">
      <xdr:nvSpPr>
        <xdr:cNvPr id="41" name="Forma en 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16200000">
          <a:off x="6517149" y="7748265"/>
          <a:ext cx="1661494" cy="13612055"/>
        </a:xfrm>
        <a:prstGeom prst="corner">
          <a:avLst>
            <a:gd name="adj1" fmla="val 46578"/>
            <a:gd name="adj2" fmla="val 38553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615416</xdr:colOff>
      <xdr:row>135</xdr:row>
      <xdr:rowOff>162106</xdr:rowOff>
    </xdr:from>
    <xdr:to>
      <xdr:col>27</xdr:col>
      <xdr:colOff>484912</xdr:colOff>
      <xdr:row>142</xdr:row>
      <xdr:rowOff>172235</xdr:rowOff>
    </xdr:to>
    <xdr:sp macro="" textlink="">
      <xdr:nvSpPr>
        <xdr:cNvPr id="42" name="Flecha: hacia abaj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16200000">
          <a:off x="12951844" y="16975641"/>
          <a:ext cx="1270893" cy="22784914"/>
        </a:xfrm>
        <a:prstGeom prst="downArrow">
          <a:avLst>
            <a:gd name="adj1" fmla="val 60006"/>
            <a:gd name="adj2" fmla="val 50000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547994</xdr:colOff>
      <xdr:row>75</xdr:row>
      <xdr:rowOff>107331</xdr:rowOff>
    </xdr:from>
    <xdr:to>
      <xdr:col>2</xdr:col>
      <xdr:colOff>616523</xdr:colOff>
      <xdr:row>141</xdr:row>
      <xdr:rowOff>85589</xdr:rowOff>
    </xdr:to>
    <xdr:sp macro="" textlink="">
      <xdr:nvSpPr>
        <xdr:cNvPr id="44" name="Forma en L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547994" y="15164451"/>
          <a:ext cx="1653489" cy="13755218"/>
        </a:xfrm>
        <a:prstGeom prst="corner">
          <a:avLst>
            <a:gd name="adj1" fmla="val 46578"/>
            <a:gd name="adj2" fmla="val 38553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86</xdr:row>
          <xdr:rowOff>0</xdr:rowOff>
        </xdr:from>
        <xdr:to>
          <xdr:col>11</xdr:col>
          <xdr:colOff>1965960</xdr:colOff>
          <xdr:row>89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285750</xdr:colOff>
      <xdr:row>97</xdr:row>
      <xdr:rowOff>76200</xdr:rowOff>
    </xdr:from>
    <xdr:to>
      <xdr:col>9</xdr:col>
      <xdr:colOff>476250</xdr:colOff>
      <xdr:row>110</xdr:row>
      <xdr:rowOff>190500</xdr:rowOff>
    </xdr:to>
    <xdr:sp macro="[0]!Arrorw1.Btn_Escaner_Click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96050" y="20478750"/>
          <a:ext cx="2438400" cy="27813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>
              <a:solidFill>
                <a:schemeClr val="tx1"/>
              </a:solidFill>
            </a:rPr>
            <a:t>[Insertar dato]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116</xdr:row>
          <xdr:rowOff>144780</xdr:rowOff>
        </xdr:from>
        <xdr:to>
          <xdr:col>17</xdr:col>
          <xdr:colOff>251460</xdr:colOff>
          <xdr:row>120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E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350520</xdr:colOff>
          <xdr:row>112</xdr:row>
          <xdr:rowOff>38100</xdr:rowOff>
        </xdr:from>
        <xdr:to>
          <xdr:col>18</xdr:col>
          <xdr:colOff>502920</xdr:colOff>
          <xdr:row>115</xdr:row>
          <xdr:rowOff>137160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E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116</xdr:row>
          <xdr:rowOff>167640</xdr:rowOff>
        </xdr:from>
        <xdr:to>
          <xdr:col>19</xdr:col>
          <xdr:colOff>762000</xdr:colOff>
          <xdr:row>120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E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350520</xdr:colOff>
          <xdr:row>121</xdr:row>
          <xdr:rowOff>60960</xdr:rowOff>
        </xdr:from>
        <xdr:to>
          <xdr:col>18</xdr:col>
          <xdr:colOff>502920</xdr:colOff>
          <xdr:row>124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E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96</xdr:row>
          <xdr:rowOff>144780</xdr:rowOff>
        </xdr:from>
        <xdr:to>
          <xdr:col>13</xdr:col>
          <xdr:colOff>731520</xdr:colOff>
          <xdr:row>108</xdr:row>
          <xdr:rowOff>53340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Izquierdo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784860</xdr:colOff>
          <xdr:row>96</xdr:row>
          <xdr:rowOff>144780</xdr:rowOff>
        </xdr:from>
        <xdr:to>
          <xdr:col>14</xdr:col>
          <xdr:colOff>1203960</xdr:colOff>
          <xdr:row>108</xdr:row>
          <xdr:rowOff>53340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Derecho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46721</xdr:colOff>
      <xdr:row>72</xdr:row>
      <xdr:rowOff>141861</xdr:rowOff>
    </xdr:from>
    <xdr:to>
      <xdr:col>6</xdr:col>
      <xdr:colOff>104341</xdr:colOff>
      <xdr:row>84</xdr:row>
      <xdr:rowOff>155357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6200000">
          <a:off x="3493730" y="15440863"/>
          <a:ext cx="2972326" cy="827726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Genera Scan Code</a:t>
          </a:r>
        </a:p>
      </xdr:txBody>
    </xdr:sp>
    <xdr:clientData/>
  </xdr:twoCellAnchor>
  <xdr:twoCellAnchor>
    <xdr:from>
      <xdr:col>4</xdr:col>
      <xdr:colOff>412018</xdr:colOff>
      <xdr:row>60</xdr:row>
      <xdr:rowOff>85230</xdr:rowOff>
    </xdr:from>
    <xdr:to>
      <xdr:col>7</xdr:col>
      <xdr:colOff>449698</xdr:colOff>
      <xdr:row>71</xdr:row>
      <xdr:rowOff>72531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92444" y="12123209"/>
          <a:ext cx="3016775" cy="1993631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i="0" u="sng" baseline="0"/>
            <a:t>Controlador</a:t>
          </a:r>
        </a:p>
        <a:p>
          <a:pPr algn="l"/>
          <a:r>
            <a:rPr lang="en-US" sz="2000" baseline="0"/>
            <a:t>Interpreta codigo y hace conversion a ASCII</a:t>
          </a:r>
          <a:endParaRPr lang="en-US" sz="2400"/>
        </a:p>
      </xdr:txBody>
    </xdr:sp>
    <xdr:clientData/>
  </xdr:twoCellAnchor>
  <xdr:twoCellAnchor>
    <xdr:from>
      <xdr:col>4</xdr:col>
      <xdr:colOff>1316774</xdr:colOff>
      <xdr:row>43</xdr:row>
      <xdr:rowOff>182392</xdr:rowOff>
    </xdr:from>
    <xdr:to>
      <xdr:col>5</xdr:col>
      <xdr:colOff>659295</xdr:colOff>
      <xdr:row>58</xdr:row>
      <xdr:rowOff>81063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16200000">
          <a:off x="3470614" y="10046265"/>
          <a:ext cx="2634575" cy="781404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Envia</a:t>
          </a:r>
          <a:r>
            <a:rPr lang="en-US" sz="2000" baseline="0"/>
            <a:t> a PU</a:t>
          </a:r>
          <a:endParaRPr lang="en-US" sz="2000"/>
        </a:p>
      </xdr:txBody>
    </xdr:sp>
    <xdr:clientData/>
  </xdr:twoCellAnchor>
  <xdr:twoCellAnchor>
    <xdr:from>
      <xdr:col>12</xdr:col>
      <xdr:colOff>198302</xdr:colOff>
      <xdr:row>73</xdr:row>
      <xdr:rowOff>195671</xdr:rowOff>
    </xdr:from>
    <xdr:to>
      <xdr:col>13</xdr:col>
      <xdr:colOff>255922</xdr:colOff>
      <xdr:row>95</xdr:row>
      <xdr:rowOff>79669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15014158">
          <a:off x="9914293" y="16494837"/>
          <a:ext cx="5271576" cy="831526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Calculo</a:t>
          </a:r>
          <a:r>
            <a:rPr lang="en-US" sz="2000" baseline="0"/>
            <a:t> de de X y Y</a:t>
          </a:r>
          <a:endParaRPr lang="en-US" sz="2000"/>
        </a:p>
      </xdr:txBody>
    </xdr:sp>
    <xdr:clientData/>
  </xdr:twoCellAnchor>
  <xdr:twoCellAnchor>
    <xdr:from>
      <xdr:col>10</xdr:col>
      <xdr:colOff>680452</xdr:colOff>
      <xdr:row>62</xdr:row>
      <xdr:rowOff>160867</xdr:rowOff>
    </xdr:from>
    <xdr:to>
      <xdr:col>13</xdr:col>
      <xdr:colOff>104298</xdr:colOff>
      <xdr:row>73</xdr:row>
      <xdr:rowOff>141818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697452" y="12860867"/>
          <a:ext cx="3001013" cy="2076451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i="0" u="sng" baseline="0"/>
            <a:t>Controlador de mouse</a:t>
          </a:r>
        </a:p>
        <a:p>
          <a:pPr algn="l"/>
          <a:r>
            <a:rPr lang="en-US" sz="2000" baseline="0"/>
            <a:t>Interpretacion del paquete</a:t>
          </a:r>
          <a:endParaRPr lang="en-US" sz="2400"/>
        </a:p>
      </xdr:txBody>
    </xdr:sp>
    <xdr:clientData/>
  </xdr:twoCellAnchor>
  <xdr:twoCellAnchor>
    <xdr:from>
      <xdr:col>9</xdr:col>
      <xdr:colOff>85020</xdr:colOff>
      <xdr:row>43</xdr:row>
      <xdr:rowOff>41550</xdr:rowOff>
    </xdr:from>
    <xdr:to>
      <xdr:col>10</xdr:col>
      <xdr:colOff>104875</xdr:colOff>
      <xdr:row>66</xdr:row>
      <xdr:rowOff>152314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14113420">
          <a:off x="6620475" y="10651095"/>
          <a:ext cx="4115594" cy="777525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Envia</a:t>
          </a:r>
          <a:r>
            <a:rPr lang="en-US" sz="2000" baseline="0"/>
            <a:t> a CPU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90</xdr:row>
          <xdr:rowOff>144780</xdr:rowOff>
        </xdr:from>
        <xdr:to>
          <xdr:col>17</xdr:col>
          <xdr:colOff>251460</xdr:colOff>
          <xdr:row>94</xdr:row>
          <xdr:rowOff>68580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E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350520</xdr:colOff>
          <xdr:row>86</xdr:row>
          <xdr:rowOff>38100</xdr:rowOff>
        </xdr:from>
        <xdr:to>
          <xdr:col>18</xdr:col>
          <xdr:colOff>502920</xdr:colOff>
          <xdr:row>89</xdr:row>
          <xdr:rowOff>137160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E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90</xdr:row>
          <xdr:rowOff>167640</xdr:rowOff>
        </xdr:from>
        <xdr:to>
          <xdr:col>19</xdr:col>
          <xdr:colOff>762000</xdr:colOff>
          <xdr:row>94</xdr:row>
          <xdr:rowOff>91440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E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350520</xdr:colOff>
          <xdr:row>95</xdr:row>
          <xdr:rowOff>60960</xdr:rowOff>
        </xdr:from>
        <xdr:to>
          <xdr:col>18</xdr:col>
          <xdr:colOff>502920</xdr:colOff>
          <xdr:row>98</xdr:row>
          <xdr:rowOff>175260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E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5186</xdr:colOff>
      <xdr:row>65</xdr:row>
      <xdr:rowOff>94001</xdr:rowOff>
    </xdr:from>
    <xdr:to>
      <xdr:col>16</xdr:col>
      <xdr:colOff>318779</xdr:colOff>
      <xdr:row>83</xdr:row>
      <xdr:rowOff>46017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4491183" flipH="1">
          <a:off x="13412736" y="14265655"/>
          <a:ext cx="3913550" cy="1071264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Conversion</a:t>
          </a:r>
          <a:r>
            <a:rPr lang="en-US" sz="1800" baseline="0"/>
            <a:t> Analogico --&gt; Digital</a:t>
          </a:r>
          <a:endParaRPr lang="en-US" sz="1800"/>
        </a:p>
      </xdr:txBody>
    </xdr:sp>
    <xdr:clientData/>
  </xdr:twoCellAnchor>
  <xdr:twoCellAnchor>
    <xdr:from>
      <xdr:col>13</xdr:col>
      <xdr:colOff>64943</xdr:colOff>
      <xdr:row>56</xdr:row>
      <xdr:rowOff>46470</xdr:rowOff>
    </xdr:from>
    <xdr:to>
      <xdr:col>17</xdr:col>
      <xdr:colOff>151534</xdr:colOff>
      <xdr:row>65</xdr:row>
      <xdr:rowOff>84957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2598977" y="11238345"/>
          <a:ext cx="3896591" cy="1597123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i="0" u="sng" baseline="0"/>
            <a:t>Controlador de joystick</a:t>
          </a:r>
        </a:p>
        <a:p>
          <a:pPr algn="l"/>
          <a:r>
            <a:rPr lang="en-US" sz="2000" baseline="0"/>
            <a:t>Interpretacion sobre los sensores analogicos X/Y</a:t>
          </a:r>
          <a:endParaRPr lang="en-US" sz="2400"/>
        </a:p>
      </xdr:txBody>
    </xdr:sp>
    <xdr:clientData/>
  </xdr:twoCellAnchor>
  <xdr:twoCellAnchor>
    <xdr:from>
      <xdr:col>10</xdr:col>
      <xdr:colOff>185975</xdr:colOff>
      <xdr:row>48</xdr:row>
      <xdr:rowOff>43099</xdr:rowOff>
    </xdr:from>
    <xdr:to>
      <xdr:col>13</xdr:col>
      <xdr:colOff>527650</xdr:colOff>
      <xdr:row>54</xdr:row>
      <xdr:rowOff>72097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rot="2550069" flipH="1">
          <a:off x="9148134" y="9849519"/>
          <a:ext cx="3913550" cy="1068089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Interrupcion</a:t>
          </a:r>
          <a:r>
            <a:rPr lang="en-US" sz="1800" baseline="0"/>
            <a:t> --&gt; Envio a CPU</a:t>
          </a:r>
          <a:endParaRPr lang="en-US" sz="1800"/>
        </a:p>
      </xdr:txBody>
    </xdr:sp>
    <xdr:clientData/>
  </xdr:twoCellAnchor>
  <xdr:twoCellAnchor>
    <xdr:from>
      <xdr:col>22</xdr:col>
      <xdr:colOff>752000</xdr:colOff>
      <xdr:row>68</xdr:row>
      <xdr:rowOff>25796</xdr:rowOff>
    </xdr:from>
    <xdr:to>
      <xdr:col>24</xdr:col>
      <xdr:colOff>234950</xdr:colOff>
      <xdr:row>90</xdr:row>
      <xdr:rowOff>151536</xdr:rowOff>
    </xdr:to>
    <xdr:sp macro="" textlink="">
      <xdr:nvSpPr>
        <xdr:cNvPr id="21" name="Arrow: Dow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0884386" y="13339148"/>
          <a:ext cx="998291" cy="5191308"/>
        </a:xfrm>
        <a:prstGeom prst="downArrow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38029</xdr:colOff>
      <xdr:row>90</xdr:row>
      <xdr:rowOff>206867</xdr:rowOff>
    </xdr:from>
    <xdr:to>
      <xdr:col>26</xdr:col>
      <xdr:colOff>213302</xdr:colOff>
      <xdr:row>98</xdr:row>
      <xdr:rowOff>56801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9412745" y="18585787"/>
          <a:ext cx="3963625" cy="1754934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solidFill>
                <a:schemeClr val="tx1"/>
              </a:solidFill>
            </a:rPr>
            <a:t>Controlador de video (GPU)</a:t>
          </a:r>
        </a:p>
      </xdr:txBody>
    </xdr:sp>
    <xdr:clientData/>
  </xdr:twoCellAnchor>
  <xdr:twoCellAnchor>
    <xdr:from>
      <xdr:col>23</xdr:col>
      <xdr:colOff>220332</xdr:colOff>
      <xdr:row>98</xdr:row>
      <xdr:rowOff>217450</xdr:rowOff>
    </xdr:from>
    <xdr:to>
      <xdr:col>24</xdr:col>
      <xdr:colOff>21648</xdr:colOff>
      <xdr:row>115</xdr:row>
      <xdr:rowOff>43296</xdr:rowOff>
    </xdr:to>
    <xdr:sp macro="" textlink="">
      <xdr:nvSpPr>
        <xdr:cNvPr id="23" name="Arrow: Dow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1110389" y="20501370"/>
          <a:ext cx="558986" cy="3246187"/>
        </a:xfrm>
        <a:prstGeom prst="downArrow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320316</xdr:colOff>
      <xdr:row>116</xdr:row>
      <xdr:rowOff>59374</xdr:rowOff>
    </xdr:from>
    <xdr:to>
      <xdr:col>26</xdr:col>
      <xdr:colOff>501939</xdr:colOff>
      <xdr:row>126</xdr:row>
      <xdr:rowOff>14371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9695032" y="23936817"/>
          <a:ext cx="3969975" cy="1751759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solidFill>
                <a:schemeClr val="tx1"/>
              </a:solidFill>
            </a:rPr>
            <a:t>VRAM</a:t>
          </a:r>
          <a:r>
            <a:rPr lang="en-US" sz="3200" baseline="0">
              <a:solidFill>
                <a:schemeClr val="tx1"/>
              </a:solidFill>
            </a:rPr>
            <a:t> (Framebuffer)</a:t>
          </a:r>
          <a:endParaRPr lang="en-US" sz="32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627785</xdr:colOff>
      <xdr:row>120</xdr:row>
      <xdr:rowOff>131417</xdr:rowOff>
    </xdr:from>
    <xdr:to>
      <xdr:col>28</xdr:col>
      <xdr:colOff>909205</xdr:colOff>
      <xdr:row>123</xdr:row>
      <xdr:rowOff>164476</xdr:rowOff>
    </xdr:to>
    <xdr:sp macro="" textlink="">
      <xdr:nvSpPr>
        <xdr:cNvPr id="25" name="Arrow: Dow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24402108" y="24111980"/>
          <a:ext cx="574252" cy="1796761"/>
        </a:xfrm>
        <a:prstGeom prst="downArrow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1409700</xdr:colOff>
          <xdr:row>115</xdr:row>
          <xdr:rowOff>137160</xdr:rowOff>
        </xdr:from>
        <xdr:to>
          <xdr:col>13</xdr:col>
          <xdr:colOff>609600</xdr:colOff>
          <xdr:row>125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todo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49</xdr:row>
          <xdr:rowOff>30480</xdr:rowOff>
        </xdr:from>
        <xdr:to>
          <xdr:col>6</xdr:col>
          <xdr:colOff>175260</xdr:colOff>
          <xdr:row>51</xdr:row>
          <xdr:rowOff>91440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Usar Teclado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678180</xdr:colOff>
          <xdr:row>26</xdr:row>
          <xdr:rowOff>106680</xdr:rowOff>
        </xdr:from>
        <xdr:to>
          <xdr:col>7</xdr:col>
          <xdr:colOff>723900</xdr:colOff>
          <xdr:row>27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53</xdr:row>
          <xdr:rowOff>45720</xdr:rowOff>
        </xdr:from>
        <xdr:to>
          <xdr:col>8</xdr:col>
          <xdr:colOff>784860</xdr:colOff>
          <xdr:row>61</xdr:row>
          <xdr:rowOff>129540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Izquierdo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53</xdr:row>
          <xdr:rowOff>45720</xdr:rowOff>
        </xdr:from>
        <xdr:to>
          <xdr:col>9</xdr:col>
          <xdr:colOff>754380</xdr:colOff>
          <xdr:row>61</xdr:row>
          <xdr:rowOff>129540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derecho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38</xdr:row>
          <xdr:rowOff>121920</xdr:rowOff>
        </xdr:from>
        <xdr:to>
          <xdr:col>6</xdr:col>
          <xdr:colOff>731520</xdr:colOff>
          <xdr:row>40</xdr:row>
          <xdr:rowOff>99060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36</xdr:row>
          <xdr:rowOff>53340</xdr:rowOff>
        </xdr:from>
        <xdr:to>
          <xdr:col>7</xdr:col>
          <xdr:colOff>678180</xdr:colOff>
          <xdr:row>38</xdr:row>
          <xdr:rowOff>99060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38</xdr:row>
          <xdr:rowOff>129540</xdr:rowOff>
        </xdr:from>
        <xdr:to>
          <xdr:col>8</xdr:col>
          <xdr:colOff>678180</xdr:colOff>
          <xdr:row>40</xdr:row>
          <xdr:rowOff>114300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40</xdr:row>
          <xdr:rowOff>53340</xdr:rowOff>
        </xdr:from>
        <xdr:to>
          <xdr:col>7</xdr:col>
          <xdr:colOff>678180</xdr:colOff>
          <xdr:row>42</xdr:row>
          <xdr:rowOff>106680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3DDB-76F8-4243-BC32-479F15F65C13}">
  <sheetPr codeName="Arrorw1"/>
  <dimension ref="B1:AX169"/>
  <sheetViews>
    <sheetView tabSelected="1" topLeftCell="A40" zoomScale="40" zoomScaleNormal="40" workbookViewId="0">
      <selection activeCell="N115" sqref="N115"/>
    </sheetView>
  </sheetViews>
  <sheetFormatPr baseColWidth="10" defaultColWidth="10.88671875" defaultRowHeight="14.4" x14ac:dyDescent="0.3"/>
  <cols>
    <col min="5" max="5" width="20.6640625" customWidth="1"/>
    <col min="8" max="8" width="21.109375" customWidth="1"/>
    <col min="9" max="9" width="16.21875" customWidth="1"/>
    <col min="12" max="12" width="29.33203125" customWidth="1"/>
    <col min="14" max="14" width="14.5546875" customWidth="1"/>
    <col min="15" max="15" width="18.21875" customWidth="1"/>
    <col min="21" max="21" width="15.21875" customWidth="1"/>
    <col min="24" max="24" width="16.109375" customWidth="1"/>
    <col min="29" max="29" width="14.77734375" customWidth="1"/>
    <col min="30" max="30" width="16.44140625" customWidth="1"/>
    <col min="35" max="35" width="12.88671875" customWidth="1"/>
    <col min="36" max="36" width="16.33203125" customWidth="1"/>
  </cols>
  <sheetData>
    <row r="1" spans="2:44" ht="31.8" thickBot="1" x14ac:dyDescent="0.65">
      <c r="AB1" s="140" t="s">
        <v>31</v>
      </c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2"/>
    </row>
    <row r="2" spans="2:44" ht="31.8" thickBot="1" x14ac:dyDescent="0.65">
      <c r="C2" s="164" t="s">
        <v>23</v>
      </c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6"/>
      <c r="AB2" s="1"/>
      <c r="AC2" s="146" t="s">
        <v>27</v>
      </c>
      <c r="AD2" s="147"/>
      <c r="AH2" s="148" t="s">
        <v>30</v>
      </c>
      <c r="AI2" s="149"/>
      <c r="AJ2" s="149"/>
      <c r="AK2" s="149"/>
      <c r="AL2" s="149"/>
      <c r="AM2" s="149"/>
      <c r="AN2" s="149"/>
      <c r="AO2" s="149"/>
      <c r="AP2" s="149"/>
      <c r="AQ2" s="147"/>
      <c r="AR2" s="2"/>
    </row>
    <row r="3" spans="2:44" ht="15" thickBot="1" x14ac:dyDescent="0.35">
      <c r="B3" s="2"/>
      <c r="Y3" s="2"/>
      <c r="AB3" s="27">
        <v>0</v>
      </c>
      <c r="AC3" s="24" t="str">
        <f xml:space="preserve"> "0x" &amp; RIGHT( "0000000" &amp; DEC2HEX(AB3), 8)</f>
        <v>0x00000000</v>
      </c>
      <c r="AD3" s="221" t="s">
        <v>51</v>
      </c>
      <c r="AH3" s="1"/>
      <c r="AQ3" s="2"/>
      <c r="AR3" s="2"/>
    </row>
    <row r="4" spans="2:44" ht="21.6" thickBot="1" x14ac:dyDescent="0.45">
      <c r="B4" s="2"/>
      <c r="D4" s="143" t="s">
        <v>0</v>
      </c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63"/>
      <c r="R4" s="20"/>
      <c r="T4" s="161" t="s">
        <v>25</v>
      </c>
      <c r="U4" s="163"/>
      <c r="W4" s="161" t="s">
        <v>26</v>
      </c>
      <c r="X4" s="162"/>
      <c r="Y4" s="2"/>
      <c r="AB4" s="27">
        <v>1</v>
      </c>
      <c r="AC4" s="25" t="str">
        <f t="shared" ref="AC4:AC67" si="0" xml:space="preserve"> "0x" &amp; RIGHT( "0000000" &amp; DEC2HEX(AB4), 8)</f>
        <v>0x00000001</v>
      </c>
      <c r="AD4" s="222" t="s">
        <v>79</v>
      </c>
      <c r="AH4" s="1"/>
      <c r="AI4" s="150" t="s">
        <v>28</v>
      </c>
      <c r="AJ4" s="151"/>
      <c r="AL4" s="152" t="s">
        <v>29</v>
      </c>
      <c r="AM4" s="153"/>
      <c r="AN4" s="153"/>
      <c r="AO4" s="153"/>
      <c r="AP4" s="154"/>
      <c r="AQ4" s="2"/>
      <c r="AR4" s="2"/>
    </row>
    <row r="5" spans="2:44" ht="15" thickBot="1" x14ac:dyDescent="0.35">
      <c r="B5" s="2"/>
      <c r="D5" s="14"/>
      <c r="E5" s="7"/>
      <c r="F5" s="7"/>
      <c r="G5" s="7"/>
      <c r="H5" s="7"/>
      <c r="I5" s="7"/>
      <c r="J5" s="7"/>
      <c r="K5" s="7"/>
      <c r="L5" s="7"/>
      <c r="M5" s="7"/>
      <c r="N5" s="7"/>
      <c r="O5" s="15"/>
      <c r="R5" s="20"/>
      <c r="S5" s="20">
        <v>0</v>
      </c>
      <c r="T5" s="21" t="str">
        <f xml:space="preserve"> "0x" &amp; RIGHT( "000" &amp; DEC2HEX(S5), 4)</f>
        <v>0x0000</v>
      </c>
      <c r="U5" s="227" t="s">
        <v>52</v>
      </c>
      <c r="V5" s="20">
        <v>0</v>
      </c>
      <c r="W5" s="8" t="str">
        <f xml:space="preserve"> "0x" &amp; RIGHT( "000" &amp; DEC2HEX(V5), 4)</f>
        <v>0x0000</v>
      </c>
      <c r="X5" s="221" t="s">
        <v>51</v>
      </c>
      <c r="Y5" s="2"/>
      <c r="AB5" s="27">
        <v>2</v>
      </c>
      <c r="AC5" s="25" t="str">
        <f t="shared" si="0"/>
        <v>0x00000002</v>
      </c>
      <c r="AD5" s="222" t="s">
        <v>52</v>
      </c>
      <c r="AH5" s="1"/>
      <c r="AI5" s="24" t="str">
        <f xml:space="preserve"> "0x" &amp; RIGHT( "0000000" &amp; DEC2HEX(AB3), 8)</f>
        <v>0x00000000</v>
      </c>
      <c r="AJ5" s="224"/>
      <c r="AL5" s="155"/>
      <c r="AM5" s="156"/>
      <c r="AN5" s="156"/>
      <c r="AO5" s="156"/>
      <c r="AP5" s="157"/>
      <c r="AQ5" s="2"/>
      <c r="AR5" s="2"/>
    </row>
    <row r="6" spans="2:44" ht="18.600000000000001" thickBot="1" x14ac:dyDescent="0.4">
      <c r="B6" s="2"/>
      <c r="D6" s="14"/>
      <c r="E6" s="143" t="s">
        <v>5</v>
      </c>
      <c r="F6" s="145"/>
      <c r="G6" s="7"/>
      <c r="H6" s="143" t="s">
        <v>11</v>
      </c>
      <c r="I6" s="145"/>
      <c r="J6" s="7"/>
      <c r="K6" s="161" t="s">
        <v>12</v>
      </c>
      <c r="L6" s="162"/>
      <c r="M6" s="7"/>
      <c r="N6" s="19" t="s">
        <v>14</v>
      </c>
      <c r="O6" s="15"/>
      <c r="R6" s="20"/>
      <c r="S6" s="20">
        <v>1</v>
      </c>
      <c r="T6" s="22" t="str">
        <f t="shared" ref="T6:T42" si="1" xml:space="preserve"> "0x" &amp; RIGHT( "000" &amp; DEC2HEX(S6), 4)</f>
        <v>0x0001</v>
      </c>
      <c r="U6" s="222" t="s">
        <v>52</v>
      </c>
      <c r="V6" s="20">
        <v>1</v>
      </c>
      <c r="W6" s="9" t="str">
        <f t="shared" ref="W6:W66" si="2" xml:space="preserve"> "0x" &amp; RIGHT( "000" &amp; DEC2HEX(V6), 4)</f>
        <v>0x0001</v>
      </c>
      <c r="X6" s="222" t="s">
        <v>79</v>
      </c>
      <c r="Y6" s="2"/>
      <c r="AB6" s="27">
        <v>3</v>
      </c>
      <c r="AC6" s="25" t="str">
        <f t="shared" si="0"/>
        <v>0x00000003</v>
      </c>
      <c r="AD6" s="222" t="s">
        <v>52</v>
      </c>
      <c r="AH6" s="1"/>
      <c r="AI6" s="25" t="str">
        <f t="shared" ref="AI6:AI69" si="3" xml:space="preserve"> "0x" &amp; RIGHT( "0000000" &amp; DEC2HEX(AB4), 8)</f>
        <v>0x00000001</v>
      </c>
      <c r="AJ6" s="225"/>
      <c r="AL6" s="155"/>
      <c r="AM6" s="156"/>
      <c r="AN6" s="156"/>
      <c r="AO6" s="156"/>
      <c r="AP6" s="157"/>
      <c r="AQ6" s="2"/>
      <c r="AR6" s="2"/>
    </row>
    <row r="7" spans="2:44" ht="15" thickBot="1" x14ac:dyDescent="0.35">
      <c r="B7" s="2"/>
      <c r="D7" s="14"/>
      <c r="E7" s="28" t="s">
        <v>1</v>
      </c>
      <c r="F7" s="233">
        <v>65</v>
      </c>
      <c r="G7" s="7"/>
      <c r="H7" s="11" t="s">
        <v>6</v>
      </c>
      <c r="I7" s="30" t="s">
        <v>55</v>
      </c>
      <c r="J7" s="7"/>
      <c r="K7" s="8" t="s">
        <v>10</v>
      </c>
      <c r="L7" s="233" t="s">
        <v>81</v>
      </c>
      <c r="M7" s="7"/>
      <c r="N7" s="228">
        <v>31</v>
      </c>
      <c r="O7" s="15"/>
      <c r="R7" s="20"/>
      <c r="S7" s="20">
        <v>2</v>
      </c>
      <c r="T7" s="22" t="str">
        <f t="shared" si="1"/>
        <v>0x0002</v>
      </c>
      <c r="U7" s="222" t="s">
        <v>54</v>
      </c>
      <c r="V7" s="20">
        <v>2</v>
      </c>
      <c r="W7" s="9" t="str">
        <f t="shared" si="2"/>
        <v>0x0002</v>
      </c>
      <c r="X7" s="222" t="s">
        <v>52</v>
      </c>
      <c r="Y7" s="2"/>
      <c r="AB7" s="27">
        <v>4</v>
      </c>
      <c r="AC7" s="25" t="str">
        <f t="shared" si="0"/>
        <v>0x00000004</v>
      </c>
      <c r="AD7" s="222" t="s">
        <v>52</v>
      </c>
      <c r="AH7" s="1"/>
      <c r="AI7" s="25" t="str">
        <f t="shared" si="3"/>
        <v>0x00000002</v>
      </c>
      <c r="AJ7" s="225"/>
      <c r="AL7" s="155"/>
      <c r="AM7" s="156"/>
      <c r="AN7" s="156"/>
      <c r="AO7" s="156"/>
      <c r="AP7" s="157"/>
      <c r="AQ7" s="2"/>
      <c r="AR7" s="2"/>
    </row>
    <row r="8" spans="2:44" ht="15" thickBot="1" x14ac:dyDescent="0.35">
      <c r="B8" s="2"/>
      <c r="D8" s="14"/>
      <c r="E8" s="9" t="s">
        <v>2</v>
      </c>
      <c r="F8" s="242">
        <v>0</v>
      </c>
      <c r="G8" s="7"/>
      <c r="H8" s="12" t="s">
        <v>7</v>
      </c>
      <c r="I8" s="29" t="s">
        <v>55</v>
      </c>
      <c r="J8" s="7"/>
      <c r="K8" s="10" t="s">
        <v>13</v>
      </c>
      <c r="L8" s="234" t="s">
        <v>53</v>
      </c>
      <c r="M8" s="7"/>
      <c r="N8" s="7"/>
      <c r="O8" s="15"/>
      <c r="R8" s="20"/>
      <c r="S8" s="20">
        <v>3</v>
      </c>
      <c r="T8" s="22" t="str">
        <f t="shared" si="1"/>
        <v>0x0003</v>
      </c>
      <c r="U8" s="222" t="s">
        <v>56</v>
      </c>
      <c r="V8" s="20">
        <v>3</v>
      </c>
      <c r="W8" s="9" t="str">
        <f t="shared" si="2"/>
        <v>0x0003</v>
      </c>
      <c r="X8" s="222" t="s">
        <v>52</v>
      </c>
      <c r="Y8" s="2"/>
      <c r="AB8" s="27">
        <v>5</v>
      </c>
      <c r="AC8" s="25" t="str">
        <f t="shared" si="0"/>
        <v>0x00000005</v>
      </c>
      <c r="AD8" s="222" t="s">
        <v>54</v>
      </c>
      <c r="AH8" s="1"/>
      <c r="AI8" s="25" t="str">
        <f t="shared" si="3"/>
        <v>0x00000003</v>
      </c>
      <c r="AJ8" s="225"/>
      <c r="AL8" s="155"/>
      <c r="AM8" s="156"/>
      <c r="AN8" s="156"/>
      <c r="AO8" s="156"/>
      <c r="AP8" s="157"/>
      <c r="AQ8" s="2"/>
      <c r="AR8" s="2"/>
    </row>
    <row r="9" spans="2:44" x14ac:dyDescent="0.3">
      <c r="B9" s="2"/>
      <c r="D9" s="14"/>
      <c r="E9" s="9" t="s">
        <v>3</v>
      </c>
      <c r="F9" s="242">
        <v>0</v>
      </c>
      <c r="G9" s="7"/>
      <c r="H9" s="12" t="s">
        <v>8</v>
      </c>
      <c r="I9" s="29">
        <v>0</v>
      </c>
      <c r="J9" s="7"/>
      <c r="K9" s="7"/>
      <c r="L9" s="7"/>
      <c r="M9" s="7"/>
      <c r="N9" s="7"/>
      <c r="O9" s="15"/>
      <c r="R9" s="20"/>
      <c r="S9" s="20">
        <v>4</v>
      </c>
      <c r="T9" s="22" t="str">
        <f t="shared" si="1"/>
        <v>0x0004</v>
      </c>
      <c r="U9" s="222"/>
      <c r="V9" s="20">
        <v>4</v>
      </c>
      <c r="W9" s="9" t="str">
        <f t="shared" si="2"/>
        <v>0x0004</v>
      </c>
      <c r="X9" s="222" t="s">
        <v>52</v>
      </c>
      <c r="Y9" s="2"/>
      <c r="AB9" s="27">
        <v>6</v>
      </c>
      <c r="AC9" s="25" t="str">
        <f t="shared" si="0"/>
        <v>0x00000006</v>
      </c>
      <c r="AD9" s="222" t="s">
        <v>56</v>
      </c>
      <c r="AH9" s="1"/>
      <c r="AI9" s="25" t="str">
        <f t="shared" si="3"/>
        <v>0x00000004</v>
      </c>
      <c r="AJ9" s="225"/>
      <c r="AL9" s="155"/>
      <c r="AM9" s="156"/>
      <c r="AN9" s="156"/>
      <c r="AO9" s="156"/>
      <c r="AP9" s="157"/>
      <c r="AQ9" s="2"/>
      <c r="AR9" s="2"/>
    </row>
    <row r="10" spans="2:44" ht="15" thickBot="1" x14ac:dyDescent="0.35">
      <c r="B10" s="2"/>
      <c r="D10" s="14"/>
      <c r="E10" s="10" t="s">
        <v>4</v>
      </c>
      <c r="F10" s="234">
        <v>0</v>
      </c>
      <c r="G10" s="7"/>
      <c r="H10" s="13" t="s">
        <v>9</v>
      </c>
      <c r="I10" s="31">
        <v>0</v>
      </c>
      <c r="J10" s="7"/>
      <c r="K10" s="7"/>
      <c r="L10" s="7"/>
      <c r="M10" s="7"/>
      <c r="N10" s="7"/>
      <c r="O10" s="15"/>
      <c r="R10" s="20"/>
      <c r="S10" s="20">
        <v>5</v>
      </c>
      <c r="T10" s="22" t="str">
        <f t="shared" si="1"/>
        <v>0x0005</v>
      </c>
      <c r="U10" s="222"/>
      <c r="V10" s="20">
        <v>5</v>
      </c>
      <c r="W10" s="9" t="str">
        <f t="shared" si="2"/>
        <v>0x0005</v>
      </c>
      <c r="X10" s="222" t="s">
        <v>54</v>
      </c>
      <c r="Y10" s="2"/>
      <c r="AB10" s="27">
        <v>7</v>
      </c>
      <c r="AC10" s="25" t="str">
        <f t="shared" si="0"/>
        <v>0x00000007</v>
      </c>
      <c r="AD10" s="222" t="s">
        <v>51</v>
      </c>
      <c r="AH10" s="1"/>
      <c r="AI10" s="25" t="str">
        <f t="shared" si="3"/>
        <v>0x00000005</v>
      </c>
      <c r="AJ10" s="225"/>
      <c r="AL10" s="155"/>
      <c r="AM10" s="156"/>
      <c r="AN10" s="156"/>
      <c r="AO10" s="156"/>
      <c r="AP10" s="157"/>
      <c r="AQ10" s="2"/>
      <c r="AR10" s="2"/>
    </row>
    <row r="11" spans="2:44" ht="15" thickBot="1" x14ac:dyDescent="0.35">
      <c r="B11" s="2"/>
      <c r="D11" s="16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8"/>
      <c r="R11" s="20"/>
      <c r="S11" s="20">
        <v>6</v>
      </c>
      <c r="T11" s="22" t="str">
        <f t="shared" si="1"/>
        <v>0x0006</v>
      </c>
      <c r="U11" s="222"/>
      <c r="V11" s="20">
        <v>6</v>
      </c>
      <c r="W11" s="9" t="str">
        <f t="shared" si="2"/>
        <v>0x0006</v>
      </c>
      <c r="X11" s="222" t="s">
        <v>56</v>
      </c>
      <c r="Y11" s="2"/>
      <c r="AB11" s="27">
        <v>8</v>
      </c>
      <c r="AC11" s="25" t="str">
        <f t="shared" si="0"/>
        <v>0x00000008</v>
      </c>
      <c r="AD11" s="222" t="s">
        <v>72</v>
      </c>
      <c r="AH11" s="1"/>
      <c r="AI11" s="25" t="str">
        <f t="shared" si="3"/>
        <v>0x00000006</v>
      </c>
      <c r="AJ11" s="225"/>
      <c r="AL11" s="155"/>
      <c r="AM11" s="156"/>
      <c r="AN11" s="156"/>
      <c r="AO11" s="156"/>
      <c r="AP11" s="157"/>
      <c r="AQ11" s="2"/>
      <c r="AR11" s="2"/>
    </row>
    <row r="12" spans="2:44" x14ac:dyDescent="0.3">
      <c r="B12" s="2"/>
      <c r="R12" s="20"/>
      <c r="S12" s="20">
        <v>7</v>
      </c>
      <c r="T12" s="22" t="str">
        <f t="shared" si="1"/>
        <v>0x0007</v>
      </c>
      <c r="U12" s="222"/>
      <c r="V12" s="20">
        <v>7</v>
      </c>
      <c r="W12" s="9" t="str">
        <f t="shared" si="2"/>
        <v>0x0007</v>
      </c>
      <c r="X12" s="222" t="s">
        <v>51</v>
      </c>
      <c r="Y12" s="2"/>
      <c r="AB12" s="27">
        <v>9</v>
      </c>
      <c r="AC12" s="25" t="str">
        <f t="shared" si="0"/>
        <v>0x00000009</v>
      </c>
      <c r="AD12" s="222" t="s">
        <v>52</v>
      </c>
      <c r="AH12" s="1"/>
      <c r="AI12" s="25" t="str">
        <f t="shared" si="3"/>
        <v>0x00000007</v>
      </c>
      <c r="AJ12" s="225"/>
      <c r="AL12" s="155"/>
      <c r="AM12" s="156"/>
      <c r="AN12" s="156"/>
      <c r="AO12" s="156"/>
      <c r="AP12" s="157"/>
      <c r="AQ12" s="2"/>
      <c r="AR12" s="2"/>
    </row>
    <row r="13" spans="2:44" ht="15" thickBot="1" x14ac:dyDescent="0.35">
      <c r="B13" s="2"/>
      <c r="R13" s="20"/>
      <c r="S13" s="20">
        <v>8</v>
      </c>
      <c r="T13" s="22" t="str">
        <f t="shared" si="1"/>
        <v>0x0008</v>
      </c>
      <c r="U13" s="222"/>
      <c r="V13" s="20">
        <v>8</v>
      </c>
      <c r="W13" s="9" t="str">
        <f t="shared" si="2"/>
        <v>0x0008</v>
      </c>
      <c r="X13" s="222" t="s">
        <v>72</v>
      </c>
      <c r="Y13" s="2"/>
      <c r="AB13" s="27">
        <v>10</v>
      </c>
      <c r="AC13" s="25" t="str">
        <f t="shared" si="0"/>
        <v>0x0000000A</v>
      </c>
      <c r="AD13" s="222" t="s">
        <v>52</v>
      </c>
      <c r="AH13" s="1"/>
      <c r="AI13" s="25" t="str">
        <f t="shared" si="3"/>
        <v>0x00000008</v>
      </c>
      <c r="AJ13" s="225"/>
      <c r="AL13" s="155"/>
      <c r="AM13" s="156"/>
      <c r="AN13" s="156"/>
      <c r="AO13" s="156"/>
      <c r="AP13" s="157"/>
      <c r="AQ13" s="2"/>
      <c r="AR13" s="2"/>
    </row>
    <row r="14" spans="2:44" ht="18.600000000000001" thickBot="1" x14ac:dyDescent="0.4">
      <c r="B14" s="2"/>
      <c r="D14" s="143" t="s">
        <v>15</v>
      </c>
      <c r="E14" s="173"/>
      <c r="F14" s="173"/>
      <c r="G14" s="173"/>
      <c r="H14" s="173"/>
      <c r="I14" s="173"/>
      <c r="J14" s="163"/>
      <c r="L14" s="143" t="s">
        <v>19</v>
      </c>
      <c r="M14" s="144"/>
      <c r="N14" s="144"/>
      <c r="O14" s="144"/>
      <c r="P14" s="144"/>
      <c r="Q14" s="145"/>
      <c r="R14" s="20"/>
      <c r="S14" s="20">
        <v>9</v>
      </c>
      <c r="T14" s="22" t="str">
        <f t="shared" si="1"/>
        <v>0x0009</v>
      </c>
      <c r="U14" s="222"/>
      <c r="V14" s="20">
        <v>9</v>
      </c>
      <c r="W14" s="9" t="str">
        <f t="shared" si="2"/>
        <v>0x0009</v>
      </c>
      <c r="X14" s="222" t="s">
        <v>52</v>
      </c>
      <c r="Y14" s="2"/>
      <c r="AB14" s="27">
        <v>11</v>
      </c>
      <c r="AC14" s="25" t="str">
        <f t="shared" si="0"/>
        <v>0x0000000B</v>
      </c>
      <c r="AD14" s="222" t="s">
        <v>52</v>
      </c>
      <c r="AH14" s="1"/>
      <c r="AI14" s="25" t="str">
        <f t="shared" si="3"/>
        <v>0x00000009</v>
      </c>
      <c r="AJ14" s="225"/>
      <c r="AL14" s="155"/>
      <c r="AM14" s="156"/>
      <c r="AN14" s="156"/>
      <c r="AO14" s="156"/>
      <c r="AP14" s="157"/>
      <c r="AQ14" s="2"/>
      <c r="AR14" s="2"/>
    </row>
    <row r="15" spans="2:44" x14ac:dyDescent="0.3">
      <c r="B15" s="2"/>
      <c r="D15" s="14"/>
      <c r="E15" s="7"/>
      <c r="F15" s="7"/>
      <c r="G15" s="7"/>
      <c r="H15" s="7"/>
      <c r="I15" s="7"/>
      <c r="J15" s="15"/>
      <c r="L15" s="14"/>
      <c r="M15" s="7"/>
      <c r="N15" s="7"/>
      <c r="O15" s="7"/>
      <c r="P15" s="7"/>
      <c r="Q15" s="15"/>
      <c r="R15" s="20"/>
      <c r="S15" s="20">
        <v>10</v>
      </c>
      <c r="T15" s="22" t="str">
        <f t="shared" si="1"/>
        <v>0x000A</v>
      </c>
      <c r="U15" s="222"/>
      <c r="V15" s="20">
        <v>10</v>
      </c>
      <c r="W15" s="9" t="str">
        <f t="shared" si="2"/>
        <v>0x000A</v>
      </c>
      <c r="X15" s="222" t="s">
        <v>52</v>
      </c>
      <c r="Y15" s="2"/>
      <c r="AB15" s="27">
        <v>12</v>
      </c>
      <c r="AC15" s="25" t="str">
        <f t="shared" si="0"/>
        <v>0x0000000C</v>
      </c>
      <c r="AD15" s="222" t="s">
        <v>54</v>
      </c>
      <c r="AH15" s="1"/>
      <c r="AI15" s="25" t="str">
        <f t="shared" si="3"/>
        <v>0x0000000A</v>
      </c>
      <c r="AJ15" s="225"/>
      <c r="AL15" s="155"/>
      <c r="AM15" s="156"/>
      <c r="AN15" s="156"/>
      <c r="AO15" s="156"/>
      <c r="AP15" s="157"/>
      <c r="AQ15" s="2"/>
      <c r="AR15" s="2"/>
    </row>
    <row r="16" spans="2:44" x14ac:dyDescent="0.3">
      <c r="B16" s="2"/>
      <c r="D16" s="14"/>
      <c r="E16" s="7"/>
      <c r="F16" s="7"/>
      <c r="G16" s="7"/>
      <c r="H16" s="7"/>
      <c r="I16" s="7"/>
      <c r="J16" s="15"/>
      <c r="L16" s="14"/>
      <c r="M16" s="7"/>
      <c r="N16" s="7"/>
      <c r="O16" s="7"/>
      <c r="P16" s="7"/>
      <c r="Q16" s="15"/>
      <c r="R16" s="20"/>
      <c r="S16" s="20">
        <v>11</v>
      </c>
      <c r="T16" s="22" t="str">
        <f t="shared" si="1"/>
        <v>0x000B</v>
      </c>
      <c r="U16" s="222"/>
      <c r="V16" s="20">
        <v>11</v>
      </c>
      <c r="W16" s="9" t="str">
        <f t="shared" si="2"/>
        <v>0x000B</v>
      </c>
      <c r="X16" s="222" t="s">
        <v>52</v>
      </c>
      <c r="Y16" s="2"/>
      <c r="AB16" s="27">
        <v>13</v>
      </c>
      <c r="AC16" s="25" t="str">
        <f t="shared" si="0"/>
        <v>0x0000000D</v>
      </c>
      <c r="AD16" s="222" t="s">
        <v>56</v>
      </c>
      <c r="AH16" s="1"/>
      <c r="AI16" s="25" t="str">
        <f t="shared" si="3"/>
        <v>0x0000000B</v>
      </c>
      <c r="AJ16" s="225"/>
      <c r="AL16" s="155"/>
      <c r="AM16" s="156"/>
      <c r="AN16" s="156"/>
      <c r="AO16" s="156"/>
      <c r="AP16" s="157"/>
      <c r="AQ16" s="2"/>
      <c r="AR16" s="2"/>
    </row>
    <row r="17" spans="2:44" ht="15" thickBot="1" x14ac:dyDescent="0.35">
      <c r="B17" s="2"/>
      <c r="D17" s="14"/>
      <c r="E17" s="7"/>
      <c r="F17" s="7"/>
      <c r="G17" s="7"/>
      <c r="H17" s="7"/>
      <c r="I17" s="7"/>
      <c r="J17" s="15"/>
      <c r="L17" s="14"/>
      <c r="M17" s="7"/>
      <c r="N17" s="7"/>
      <c r="O17" s="7"/>
      <c r="P17" s="7"/>
      <c r="Q17" s="15"/>
      <c r="R17" s="20"/>
      <c r="S17" s="20">
        <v>12</v>
      </c>
      <c r="T17" s="22" t="str">
        <f t="shared" si="1"/>
        <v>0x000C</v>
      </c>
      <c r="U17" s="222"/>
      <c r="V17" s="20">
        <v>12</v>
      </c>
      <c r="W17" s="9" t="str">
        <f t="shared" si="2"/>
        <v>0x000C</v>
      </c>
      <c r="X17" s="222" t="s">
        <v>54</v>
      </c>
      <c r="Y17" s="2"/>
      <c r="AB17" s="27">
        <v>14</v>
      </c>
      <c r="AC17" s="25" t="str">
        <f t="shared" si="0"/>
        <v>0x0000000E</v>
      </c>
      <c r="AD17" s="222" t="s">
        <v>51</v>
      </c>
      <c r="AH17" s="1"/>
      <c r="AI17" s="25" t="str">
        <f t="shared" si="3"/>
        <v>0x0000000C</v>
      </c>
      <c r="AJ17" s="225"/>
      <c r="AL17" s="155"/>
      <c r="AM17" s="156"/>
      <c r="AN17" s="156"/>
      <c r="AO17" s="156"/>
      <c r="AP17" s="157"/>
      <c r="AQ17" s="2"/>
      <c r="AR17" s="2"/>
    </row>
    <row r="18" spans="2:44" ht="18.600000000000001" thickBot="1" x14ac:dyDescent="0.4">
      <c r="B18" s="2"/>
      <c r="D18" s="14"/>
      <c r="E18" s="19" t="s">
        <v>17</v>
      </c>
      <c r="F18" s="7"/>
      <c r="G18" s="143" t="s">
        <v>18</v>
      </c>
      <c r="H18" s="173"/>
      <c r="I18" s="163"/>
      <c r="J18" s="15"/>
      <c r="L18" s="14"/>
      <c r="M18" s="7"/>
      <c r="N18" s="7"/>
      <c r="O18" s="7"/>
      <c r="P18" s="7"/>
      <c r="Q18" s="15"/>
      <c r="R18" s="20"/>
      <c r="S18" s="20">
        <v>13</v>
      </c>
      <c r="T18" s="22" t="str">
        <f t="shared" si="1"/>
        <v>0x000D</v>
      </c>
      <c r="U18" s="222"/>
      <c r="V18" s="20">
        <v>13</v>
      </c>
      <c r="W18" s="9" t="str">
        <f t="shared" si="2"/>
        <v>0x000D</v>
      </c>
      <c r="X18" s="222" t="s">
        <v>56</v>
      </c>
      <c r="Y18" s="2"/>
      <c r="AB18" s="27">
        <v>15</v>
      </c>
      <c r="AC18" s="25" t="str">
        <f t="shared" si="0"/>
        <v>0x0000000F</v>
      </c>
      <c r="AD18" s="222" t="s">
        <v>72</v>
      </c>
      <c r="AH18" s="1"/>
      <c r="AI18" s="25" t="str">
        <f t="shared" si="3"/>
        <v>0x0000000D</v>
      </c>
      <c r="AJ18" s="225"/>
      <c r="AL18" s="155"/>
      <c r="AM18" s="156"/>
      <c r="AN18" s="156"/>
      <c r="AO18" s="156"/>
      <c r="AP18" s="157"/>
      <c r="AQ18" s="2"/>
      <c r="AR18" s="2"/>
    </row>
    <row r="19" spans="2:44" ht="18.600000000000001" thickBot="1" x14ac:dyDescent="0.4">
      <c r="B19" s="2"/>
      <c r="D19" s="14"/>
      <c r="E19" s="228" t="s">
        <v>70</v>
      </c>
      <c r="F19" s="7"/>
      <c r="G19" s="229">
        <v>48</v>
      </c>
      <c r="H19" s="174"/>
      <c r="I19" s="167"/>
      <c r="J19" s="15"/>
      <c r="L19" s="14"/>
      <c r="M19" s="19" t="s">
        <v>20</v>
      </c>
      <c r="N19" s="7"/>
      <c r="O19" s="7"/>
      <c r="P19" s="19" t="s">
        <v>21</v>
      </c>
      <c r="Q19" s="15"/>
      <c r="R19" s="20"/>
      <c r="S19" s="20">
        <v>14</v>
      </c>
      <c r="T19" s="22" t="str">
        <f t="shared" si="1"/>
        <v>0x000E</v>
      </c>
      <c r="U19" s="222"/>
      <c r="V19" s="20">
        <v>14</v>
      </c>
      <c r="W19" s="9" t="str">
        <f t="shared" si="2"/>
        <v>0x000E</v>
      </c>
      <c r="X19" s="222" t="s">
        <v>51</v>
      </c>
      <c r="Y19" s="2"/>
      <c r="AB19" s="27">
        <v>16</v>
      </c>
      <c r="AC19" s="25" t="str">
        <f t="shared" si="0"/>
        <v>0x00000010</v>
      </c>
      <c r="AD19" s="222" t="s">
        <v>52</v>
      </c>
      <c r="AH19" s="1"/>
      <c r="AI19" s="25" t="str">
        <f t="shared" si="3"/>
        <v>0x0000000E</v>
      </c>
      <c r="AJ19" s="225"/>
      <c r="AL19" s="155"/>
      <c r="AM19" s="156"/>
      <c r="AN19" s="156"/>
      <c r="AO19" s="156"/>
      <c r="AP19" s="157"/>
      <c r="AQ19" s="2"/>
      <c r="AR19" s="2"/>
    </row>
    <row r="20" spans="2:44" ht="15" thickBot="1" x14ac:dyDescent="0.35">
      <c r="B20" s="2"/>
      <c r="D20" s="14"/>
      <c r="E20" s="7"/>
      <c r="F20" s="7"/>
      <c r="G20" s="7"/>
      <c r="H20" s="7"/>
      <c r="I20" s="7"/>
      <c r="J20" s="15"/>
      <c r="L20" s="14"/>
      <c r="M20" s="228">
        <v>0</v>
      </c>
      <c r="N20" s="7"/>
      <c r="O20" s="7"/>
      <c r="P20" s="228">
        <v>0</v>
      </c>
      <c r="Q20" s="15"/>
      <c r="R20" s="20"/>
      <c r="S20" s="20">
        <v>15</v>
      </c>
      <c r="T20" s="22" t="str">
        <f t="shared" si="1"/>
        <v>0x000F</v>
      </c>
      <c r="U20" s="222"/>
      <c r="V20" s="20">
        <v>15</v>
      </c>
      <c r="W20" s="9" t="str">
        <f t="shared" si="2"/>
        <v>0x000F</v>
      </c>
      <c r="X20" s="222" t="s">
        <v>72</v>
      </c>
      <c r="Y20" s="2"/>
      <c r="AB20" s="27">
        <v>17</v>
      </c>
      <c r="AC20" s="25" t="str">
        <f t="shared" si="0"/>
        <v>0x00000011</v>
      </c>
      <c r="AD20" s="222" t="s">
        <v>52</v>
      </c>
      <c r="AH20" s="1"/>
      <c r="AI20" s="25" t="str">
        <f t="shared" si="3"/>
        <v>0x0000000F</v>
      </c>
      <c r="AJ20" s="225"/>
      <c r="AL20" s="155"/>
      <c r="AM20" s="156"/>
      <c r="AN20" s="156"/>
      <c r="AO20" s="156"/>
      <c r="AP20" s="157"/>
      <c r="AQ20" s="2"/>
      <c r="AR20" s="2"/>
    </row>
    <row r="21" spans="2:44" x14ac:dyDescent="0.3">
      <c r="B21" s="2"/>
      <c r="D21" s="14"/>
      <c r="E21" s="7"/>
      <c r="F21" s="7"/>
      <c r="G21" s="7"/>
      <c r="H21" s="7"/>
      <c r="I21" s="7"/>
      <c r="J21" s="15"/>
      <c r="L21" s="14"/>
      <c r="M21" s="7"/>
      <c r="N21" s="7"/>
      <c r="O21" s="7"/>
      <c r="P21" s="7"/>
      <c r="Q21" s="15"/>
      <c r="R21" s="20"/>
      <c r="S21" s="20">
        <v>16</v>
      </c>
      <c r="T21" s="22" t="str">
        <f t="shared" si="1"/>
        <v>0x0010</v>
      </c>
      <c r="U21" s="222"/>
      <c r="V21" s="20">
        <v>16</v>
      </c>
      <c r="W21" s="9" t="str">
        <f t="shared" si="2"/>
        <v>0x0010</v>
      </c>
      <c r="X21" s="222" t="s">
        <v>52</v>
      </c>
      <c r="Y21" s="2"/>
      <c r="AB21" s="27">
        <v>18</v>
      </c>
      <c r="AC21" s="25" t="str">
        <f t="shared" si="0"/>
        <v>0x00000012</v>
      </c>
      <c r="AD21" s="222" t="s">
        <v>52</v>
      </c>
      <c r="AH21" s="1"/>
      <c r="AI21" s="25" t="str">
        <f t="shared" si="3"/>
        <v>0x00000010</v>
      </c>
      <c r="AJ21" s="225"/>
      <c r="AL21" s="155"/>
      <c r="AM21" s="156"/>
      <c r="AN21" s="156"/>
      <c r="AO21" s="156"/>
      <c r="AP21" s="157"/>
      <c r="AQ21" s="2"/>
      <c r="AR21" s="2"/>
    </row>
    <row r="22" spans="2:44" x14ac:dyDescent="0.3">
      <c r="B22" s="2"/>
      <c r="D22" s="14"/>
      <c r="E22" s="7"/>
      <c r="F22" s="7"/>
      <c r="G22" s="7"/>
      <c r="H22" s="7"/>
      <c r="I22" s="7"/>
      <c r="J22" s="15"/>
      <c r="L22" s="14"/>
      <c r="M22" s="7"/>
      <c r="N22" s="7"/>
      <c r="O22" s="7"/>
      <c r="P22" s="7"/>
      <c r="Q22" s="15"/>
      <c r="R22" s="20"/>
      <c r="S22" s="20">
        <v>17</v>
      </c>
      <c r="T22" s="22" t="str">
        <f t="shared" si="1"/>
        <v>0x0011</v>
      </c>
      <c r="U22" s="222"/>
      <c r="V22" s="20">
        <v>17</v>
      </c>
      <c r="W22" s="9" t="str">
        <f t="shared" si="2"/>
        <v>0x0011</v>
      </c>
      <c r="X22" s="222" t="s">
        <v>52</v>
      </c>
      <c r="Y22" s="2"/>
      <c r="AB22" s="27">
        <v>19</v>
      </c>
      <c r="AC22" s="25" t="str">
        <f t="shared" si="0"/>
        <v>0x00000013</v>
      </c>
      <c r="AD22" s="222" t="s">
        <v>54</v>
      </c>
      <c r="AH22" s="1"/>
      <c r="AI22" s="25" t="str">
        <f t="shared" si="3"/>
        <v>0x00000011</v>
      </c>
      <c r="AJ22" s="225"/>
      <c r="AL22" s="155"/>
      <c r="AM22" s="156"/>
      <c r="AN22" s="156"/>
      <c r="AO22" s="156"/>
      <c r="AP22" s="157"/>
      <c r="AQ22" s="2"/>
      <c r="AR22" s="2"/>
    </row>
    <row r="23" spans="2:44" ht="18" x14ac:dyDescent="0.35">
      <c r="B23" s="2"/>
      <c r="D23" s="14"/>
      <c r="E23" s="6"/>
      <c r="F23" s="7"/>
      <c r="G23" s="7"/>
      <c r="H23" s="7"/>
      <c r="I23" s="7"/>
      <c r="J23" s="15"/>
      <c r="L23" s="14"/>
      <c r="M23" s="7"/>
      <c r="N23" s="7"/>
      <c r="O23" s="7"/>
      <c r="P23" s="7"/>
      <c r="Q23" s="15"/>
      <c r="R23" s="20"/>
      <c r="S23" s="20">
        <v>18</v>
      </c>
      <c r="T23" s="22" t="str">
        <f t="shared" si="1"/>
        <v>0x0012</v>
      </c>
      <c r="U23" s="222"/>
      <c r="V23" s="20">
        <v>18</v>
      </c>
      <c r="W23" s="9" t="str">
        <f t="shared" si="2"/>
        <v>0x0012</v>
      </c>
      <c r="X23" s="222" t="s">
        <v>52</v>
      </c>
      <c r="Y23" s="2"/>
      <c r="AB23" s="27">
        <v>20</v>
      </c>
      <c r="AC23" s="25" t="str">
        <f t="shared" si="0"/>
        <v>0x00000014</v>
      </c>
      <c r="AD23" s="222" t="s">
        <v>56</v>
      </c>
      <c r="AH23" s="1"/>
      <c r="AI23" s="25" t="str">
        <f t="shared" si="3"/>
        <v>0x00000012</v>
      </c>
      <c r="AJ23" s="225"/>
      <c r="AL23" s="155"/>
      <c r="AM23" s="156"/>
      <c r="AN23" s="156"/>
      <c r="AO23" s="156"/>
      <c r="AP23" s="157"/>
      <c r="AQ23" s="2"/>
      <c r="AR23" s="2"/>
    </row>
    <row r="24" spans="2:44" x14ac:dyDescent="0.3">
      <c r="B24" s="2"/>
      <c r="D24" s="14"/>
      <c r="E24" s="7"/>
      <c r="F24" s="7"/>
      <c r="G24" s="7"/>
      <c r="H24" s="7"/>
      <c r="I24" s="7"/>
      <c r="J24" s="15"/>
      <c r="L24" s="14"/>
      <c r="M24" s="7"/>
      <c r="N24" s="7"/>
      <c r="O24" s="7"/>
      <c r="P24" s="7"/>
      <c r="Q24" s="15"/>
      <c r="R24" s="20"/>
      <c r="S24" s="20">
        <v>19</v>
      </c>
      <c r="T24" s="22" t="str">
        <f t="shared" si="1"/>
        <v>0x0013</v>
      </c>
      <c r="U24" s="222"/>
      <c r="V24" s="20">
        <v>19</v>
      </c>
      <c r="W24" s="9" t="str">
        <f t="shared" si="2"/>
        <v>0x0013</v>
      </c>
      <c r="X24" s="222" t="s">
        <v>54</v>
      </c>
      <c r="Y24" s="2"/>
      <c r="AB24" s="27">
        <v>21</v>
      </c>
      <c r="AC24" s="25" t="str">
        <f t="shared" si="0"/>
        <v>0x00000015</v>
      </c>
      <c r="AD24" s="222" t="s">
        <v>51</v>
      </c>
      <c r="AH24" s="1"/>
      <c r="AI24" s="25" t="str">
        <f t="shared" si="3"/>
        <v>0x00000013</v>
      </c>
      <c r="AJ24" s="225"/>
      <c r="AL24" s="155"/>
      <c r="AM24" s="156"/>
      <c r="AN24" s="156"/>
      <c r="AO24" s="156"/>
      <c r="AP24" s="157"/>
      <c r="AQ24" s="2"/>
      <c r="AR24" s="2"/>
    </row>
    <row r="25" spans="2:44" x14ac:dyDescent="0.3">
      <c r="B25" s="2"/>
      <c r="D25" s="14"/>
      <c r="E25" s="7"/>
      <c r="F25" s="7"/>
      <c r="G25" s="7"/>
      <c r="H25" s="7"/>
      <c r="I25" s="7"/>
      <c r="J25" s="15"/>
      <c r="L25" s="14"/>
      <c r="M25" s="7"/>
      <c r="N25" s="7"/>
      <c r="O25" s="7"/>
      <c r="P25" s="7"/>
      <c r="Q25" s="15"/>
      <c r="R25" s="20"/>
      <c r="S25" s="20">
        <v>20</v>
      </c>
      <c r="T25" s="22" t="str">
        <f t="shared" si="1"/>
        <v>0x0014</v>
      </c>
      <c r="U25" s="222"/>
      <c r="V25" s="20">
        <v>20</v>
      </c>
      <c r="W25" s="9" t="str">
        <f t="shared" si="2"/>
        <v>0x0014</v>
      </c>
      <c r="X25" s="222" t="s">
        <v>56</v>
      </c>
      <c r="Y25" s="2"/>
      <c r="AB25" s="27">
        <v>22</v>
      </c>
      <c r="AC25" s="25" t="str">
        <f t="shared" si="0"/>
        <v>0x00000016</v>
      </c>
      <c r="AD25" s="222" t="s">
        <v>71</v>
      </c>
      <c r="AH25" s="1"/>
      <c r="AI25" s="25" t="str">
        <f t="shared" si="3"/>
        <v>0x00000014</v>
      </c>
      <c r="AJ25" s="225"/>
      <c r="AL25" s="155"/>
      <c r="AM25" s="156"/>
      <c r="AN25" s="156"/>
      <c r="AO25" s="156"/>
      <c r="AP25" s="157"/>
      <c r="AQ25" s="2"/>
      <c r="AR25" s="2"/>
    </row>
    <row r="26" spans="2:44" x14ac:dyDescent="0.3">
      <c r="B26" s="2"/>
      <c r="D26" s="14"/>
      <c r="E26" s="7"/>
      <c r="F26" s="7"/>
      <c r="G26" s="7"/>
      <c r="H26" s="7"/>
      <c r="I26" s="7"/>
      <c r="J26" s="15"/>
      <c r="L26" s="14"/>
      <c r="M26" s="7"/>
      <c r="N26" s="7"/>
      <c r="O26" s="7"/>
      <c r="P26" s="7"/>
      <c r="Q26" s="15"/>
      <c r="R26" s="20"/>
      <c r="S26" s="20">
        <v>21</v>
      </c>
      <c r="T26" s="22" t="str">
        <f t="shared" si="1"/>
        <v>0x0015</v>
      </c>
      <c r="U26" s="222"/>
      <c r="V26" s="20">
        <v>21</v>
      </c>
      <c r="W26" s="9" t="str">
        <f t="shared" si="2"/>
        <v>0x0015</v>
      </c>
      <c r="X26" s="222" t="s">
        <v>51</v>
      </c>
      <c r="Y26" s="2"/>
      <c r="AB26" s="27">
        <v>23</v>
      </c>
      <c r="AC26" s="25" t="str">
        <f t="shared" si="0"/>
        <v>0x00000017</v>
      </c>
      <c r="AD26" s="222" t="s">
        <v>52</v>
      </c>
      <c r="AH26" s="1"/>
      <c r="AI26" s="25" t="str">
        <f t="shared" si="3"/>
        <v>0x00000015</v>
      </c>
      <c r="AJ26" s="225"/>
      <c r="AL26" s="155"/>
      <c r="AM26" s="156"/>
      <c r="AN26" s="156"/>
      <c r="AO26" s="156"/>
      <c r="AP26" s="157"/>
      <c r="AQ26" s="2"/>
      <c r="AR26" s="2"/>
    </row>
    <row r="27" spans="2:44" ht="15" thickBot="1" x14ac:dyDescent="0.35">
      <c r="B27" s="2"/>
      <c r="D27" s="14"/>
      <c r="E27" s="7"/>
      <c r="F27" s="7"/>
      <c r="G27" s="7"/>
      <c r="H27" s="7"/>
      <c r="I27" s="7"/>
      <c r="J27" s="15"/>
      <c r="L27" s="14"/>
      <c r="M27" s="7"/>
      <c r="N27" s="7"/>
      <c r="O27" s="7"/>
      <c r="P27" s="7"/>
      <c r="Q27" s="15"/>
      <c r="R27" s="20"/>
      <c r="S27" s="20">
        <v>22</v>
      </c>
      <c r="T27" s="22" t="str">
        <f t="shared" si="1"/>
        <v>0x0016</v>
      </c>
      <c r="U27" s="222"/>
      <c r="V27" s="20">
        <v>22</v>
      </c>
      <c r="W27" s="9" t="str">
        <f t="shared" si="2"/>
        <v>0x0016</v>
      </c>
      <c r="X27" s="222" t="s">
        <v>71</v>
      </c>
      <c r="Y27" s="2"/>
      <c r="AB27" s="27">
        <v>24</v>
      </c>
      <c r="AC27" s="25" t="str">
        <f t="shared" si="0"/>
        <v>0x00000018</v>
      </c>
      <c r="AD27" s="222" t="s">
        <v>52</v>
      </c>
      <c r="AH27" s="1"/>
      <c r="AI27" s="25" t="str">
        <f t="shared" si="3"/>
        <v>0x00000016</v>
      </c>
      <c r="AJ27" s="225"/>
      <c r="AL27" s="155"/>
      <c r="AM27" s="156"/>
      <c r="AN27" s="156"/>
      <c r="AO27" s="156"/>
      <c r="AP27" s="157"/>
      <c r="AQ27" s="2"/>
      <c r="AR27" s="2"/>
    </row>
    <row r="28" spans="2:44" ht="18.600000000000001" thickBot="1" x14ac:dyDescent="0.4">
      <c r="B28" s="2"/>
      <c r="D28" s="14"/>
      <c r="E28" s="19" t="s">
        <v>16</v>
      </c>
      <c r="F28" s="7"/>
      <c r="G28" s="7"/>
      <c r="H28" s="7"/>
      <c r="I28" s="7"/>
      <c r="J28" s="15"/>
      <c r="L28" s="14"/>
      <c r="M28" s="7"/>
      <c r="N28" s="7"/>
      <c r="O28" s="7"/>
      <c r="P28" s="7"/>
      <c r="Q28" s="15"/>
      <c r="R28" s="20"/>
      <c r="S28" s="20">
        <v>23</v>
      </c>
      <c r="T28" s="22" t="str">
        <f t="shared" si="1"/>
        <v>0x0017</v>
      </c>
      <c r="U28" s="222"/>
      <c r="V28" s="20">
        <v>23</v>
      </c>
      <c r="W28" s="9" t="str">
        <f t="shared" si="2"/>
        <v>0x0017</v>
      </c>
      <c r="X28" s="222" t="s">
        <v>52</v>
      </c>
      <c r="Y28" s="2"/>
      <c r="AB28" s="27">
        <v>25</v>
      </c>
      <c r="AC28" s="25" t="str">
        <f t="shared" si="0"/>
        <v>0x00000019</v>
      </c>
      <c r="AD28" s="222" t="s">
        <v>52</v>
      </c>
      <c r="AH28" s="1"/>
      <c r="AI28" s="25" t="str">
        <f t="shared" si="3"/>
        <v>0x00000017</v>
      </c>
      <c r="AJ28" s="225"/>
      <c r="AL28" s="155"/>
      <c r="AM28" s="156"/>
      <c r="AN28" s="156"/>
      <c r="AO28" s="156"/>
      <c r="AP28" s="157"/>
      <c r="AQ28" s="2"/>
      <c r="AR28" s="2"/>
    </row>
    <row r="29" spans="2:44" ht="18.600000000000001" thickBot="1" x14ac:dyDescent="0.35">
      <c r="B29" s="2"/>
      <c r="D29" s="14"/>
      <c r="E29" s="228" t="s">
        <v>73</v>
      </c>
      <c r="F29" s="7"/>
      <c r="G29" s="7"/>
      <c r="H29" s="7"/>
      <c r="I29" s="7"/>
      <c r="J29" s="15"/>
      <c r="L29" s="14"/>
      <c r="M29" s="7"/>
      <c r="N29" s="168" t="s">
        <v>38</v>
      </c>
      <c r="O29" s="169"/>
      <c r="P29" s="7"/>
      <c r="Q29" s="15"/>
      <c r="R29" s="20"/>
      <c r="S29" s="20">
        <v>24</v>
      </c>
      <c r="T29" s="22" t="str">
        <f t="shared" si="1"/>
        <v>0x0018</v>
      </c>
      <c r="U29" s="222"/>
      <c r="V29" s="20">
        <v>24</v>
      </c>
      <c r="W29" s="9" t="str">
        <f t="shared" si="2"/>
        <v>0x0018</v>
      </c>
      <c r="X29" s="222" t="s">
        <v>52</v>
      </c>
      <c r="Y29" s="2"/>
      <c r="AB29" s="27">
        <v>26</v>
      </c>
      <c r="AC29" s="25" t="str">
        <f t="shared" si="0"/>
        <v>0x0000001A</v>
      </c>
      <c r="AD29" s="222" t="s">
        <v>54</v>
      </c>
      <c r="AH29" s="1"/>
      <c r="AI29" s="25" t="str">
        <f t="shared" si="3"/>
        <v>0x00000018</v>
      </c>
      <c r="AJ29" s="225"/>
      <c r="AL29" s="155"/>
      <c r="AM29" s="156"/>
      <c r="AN29" s="156"/>
      <c r="AO29" s="156"/>
      <c r="AP29" s="157"/>
      <c r="AQ29" s="2"/>
      <c r="AR29" s="2"/>
    </row>
    <row r="30" spans="2:44" ht="15" thickBot="1" x14ac:dyDescent="0.35">
      <c r="B30" s="2"/>
      <c r="D30" s="14"/>
      <c r="E30" s="7"/>
      <c r="F30" s="7"/>
      <c r="G30" s="7"/>
      <c r="H30" s="7"/>
      <c r="I30" s="7"/>
      <c r="J30" s="15"/>
      <c r="L30" s="14"/>
      <c r="M30" s="7"/>
      <c r="N30" s="229"/>
      <c r="O30" s="167"/>
      <c r="P30" s="7"/>
      <c r="Q30" s="15"/>
      <c r="R30" s="20"/>
      <c r="S30" s="20">
        <v>25</v>
      </c>
      <c r="T30" s="22" t="str">
        <f t="shared" si="1"/>
        <v>0x0019</v>
      </c>
      <c r="U30" s="222"/>
      <c r="V30" s="20">
        <v>25</v>
      </c>
      <c r="W30" s="9" t="str">
        <f t="shared" si="2"/>
        <v>0x0019</v>
      </c>
      <c r="X30" s="222" t="s">
        <v>52</v>
      </c>
      <c r="Y30" s="2"/>
      <c r="AB30" s="27">
        <v>27</v>
      </c>
      <c r="AC30" s="25" t="str">
        <f t="shared" si="0"/>
        <v>0x0000001B</v>
      </c>
      <c r="AD30" s="222" t="s">
        <v>56</v>
      </c>
      <c r="AH30" s="1"/>
      <c r="AI30" s="25" t="str">
        <f t="shared" si="3"/>
        <v>0x00000019</v>
      </c>
      <c r="AJ30" s="225"/>
      <c r="AL30" s="155"/>
      <c r="AM30" s="156"/>
      <c r="AN30" s="156"/>
      <c r="AO30" s="156"/>
      <c r="AP30" s="157"/>
      <c r="AQ30" s="2"/>
      <c r="AR30" s="2"/>
    </row>
    <row r="31" spans="2:44" x14ac:dyDescent="0.3">
      <c r="B31" s="2"/>
      <c r="D31" s="14"/>
      <c r="E31" s="7"/>
      <c r="F31" s="7"/>
      <c r="G31" s="7"/>
      <c r="H31" s="7"/>
      <c r="I31" s="7"/>
      <c r="J31" s="15"/>
      <c r="L31" s="14"/>
      <c r="M31" s="7"/>
      <c r="N31" s="7"/>
      <c r="O31" s="7"/>
      <c r="P31" s="7"/>
      <c r="Q31" s="15"/>
      <c r="R31" s="20"/>
      <c r="S31" s="20">
        <v>26</v>
      </c>
      <c r="T31" s="22" t="str">
        <f t="shared" si="1"/>
        <v>0x001A</v>
      </c>
      <c r="U31" s="222"/>
      <c r="V31" s="20">
        <v>26</v>
      </c>
      <c r="W31" s="9" t="str">
        <f t="shared" si="2"/>
        <v>0x001A</v>
      </c>
      <c r="X31" s="222" t="s">
        <v>54</v>
      </c>
      <c r="Y31" s="2"/>
      <c r="AB31" s="27">
        <v>28</v>
      </c>
      <c r="AC31" s="25" t="str">
        <f t="shared" si="0"/>
        <v>0x0000001C</v>
      </c>
      <c r="AD31" s="222" t="s">
        <v>51</v>
      </c>
      <c r="AH31" s="1"/>
      <c r="AI31" s="25" t="str">
        <f t="shared" si="3"/>
        <v>0x0000001A</v>
      </c>
      <c r="AJ31" s="225"/>
      <c r="AL31" s="155"/>
      <c r="AM31" s="156"/>
      <c r="AN31" s="156"/>
      <c r="AO31" s="156"/>
      <c r="AP31" s="157"/>
      <c r="AQ31" s="2"/>
      <c r="AR31" s="2"/>
    </row>
    <row r="32" spans="2:44" x14ac:dyDescent="0.3">
      <c r="B32" s="2"/>
      <c r="D32" s="14"/>
      <c r="E32" s="7"/>
      <c r="F32" s="7"/>
      <c r="G32" s="7"/>
      <c r="H32" s="7"/>
      <c r="I32" s="7"/>
      <c r="J32" s="15"/>
      <c r="L32" s="14"/>
      <c r="M32" s="7"/>
      <c r="N32" s="7"/>
      <c r="O32" s="7"/>
      <c r="P32" s="7"/>
      <c r="Q32" s="15"/>
      <c r="R32" s="20"/>
      <c r="S32" s="20">
        <v>27</v>
      </c>
      <c r="T32" s="22" t="str">
        <f t="shared" si="1"/>
        <v>0x001B</v>
      </c>
      <c r="U32" s="222"/>
      <c r="V32" s="20">
        <v>27</v>
      </c>
      <c r="W32" s="9" t="str">
        <f t="shared" si="2"/>
        <v>0x001B</v>
      </c>
      <c r="X32" s="222" t="s">
        <v>56</v>
      </c>
      <c r="Y32" s="2"/>
      <c r="AB32" s="27">
        <v>29</v>
      </c>
      <c r="AC32" s="25" t="str">
        <f t="shared" si="0"/>
        <v>0x0000001D</v>
      </c>
      <c r="AD32" s="222" t="s">
        <v>80</v>
      </c>
      <c r="AH32" s="1"/>
      <c r="AI32" s="25" t="str">
        <f t="shared" si="3"/>
        <v>0x0000001B</v>
      </c>
      <c r="AJ32" s="225"/>
      <c r="AL32" s="155"/>
      <c r="AM32" s="156"/>
      <c r="AN32" s="156"/>
      <c r="AO32" s="156"/>
      <c r="AP32" s="157"/>
      <c r="AQ32" s="2"/>
      <c r="AR32" s="2"/>
    </row>
    <row r="33" spans="2:44" x14ac:dyDescent="0.3">
      <c r="B33" s="2"/>
      <c r="D33" s="14"/>
      <c r="E33" s="7"/>
      <c r="F33" s="7"/>
      <c r="G33" s="7"/>
      <c r="H33" s="7"/>
      <c r="I33" s="7"/>
      <c r="J33" s="15"/>
      <c r="L33" s="14"/>
      <c r="M33" s="7"/>
      <c r="N33" s="7"/>
      <c r="O33" s="7"/>
      <c r="P33" s="7"/>
      <c r="Q33" s="15"/>
      <c r="R33" s="20"/>
      <c r="S33" s="20">
        <v>28</v>
      </c>
      <c r="T33" s="22" t="str">
        <f t="shared" si="1"/>
        <v>0x001C</v>
      </c>
      <c r="U33" s="222"/>
      <c r="V33" s="20">
        <v>28</v>
      </c>
      <c r="W33" s="9" t="str">
        <f t="shared" si="2"/>
        <v>0x001C</v>
      </c>
      <c r="X33" s="222" t="s">
        <v>51</v>
      </c>
      <c r="Y33" s="2"/>
      <c r="AB33" s="27">
        <v>30</v>
      </c>
      <c r="AC33" s="25" t="str">
        <f t="shared" si="0"/>
        <v>0x0000001E</v>
      </c>
      <c r="AD33" s="222" t="s">
        <v>52</v>
      </c>
      <c r="AH33" s="1"/>
      <c r="AI33" s="25" t="str">
        <f t="shared" si="3"/>
        <v>0x0000001C</v>
      </c>
      <c r="AJ33" s="225"/>
      <c r="AL33" s="155"/>
      <c r="AM33" s="156"/>
      <c r="AN33" s="156"/>
      <c r="AO33" s="156"/>
      <c r="AP33" s="157"/>
      <c r="AQ33" s="2"/>
      <c r="AR33" s="2"/>
    </row>
    <row r="34" spans="2:44" ht="15" thickBot="1" x14ac:dyDescent="0.35">
      <c r="B34" s="2"/>
      <c r="D34" s="14"/>
      <c r="E34" s="7"/>
      <c r="F34" s="7"/>
      <c r="G34" s="7"/>
      <c r="H34" s="7"/>
      <c r="I34" s="7"/>
      <c r="J34" s="15"/>
      <c r="L34" s="14"/>
      <c r="M34" s="7"/>
      <c r="N34" s="7"/>
      <c r="O34" s="7"/>
      <c r="P34" s="7"/>
      <c r="Q34" s="15"/>
      <c r="R34" s="20"/>
      <c r="S34" s="20">
        <v>29</v>
      </c>
      <c r="T34" s="22" t="str">
        <f t="shared" si="1"/>
        <v>0x001D</v>
      </c>
      <c r="U34" s="222"/>
      <c r="V34" s="20">
        <v>29</v>
      </c>
      <c r="W34" s="9" t="str">
        <f t="shared" si="2"/>
        <v>0x001D</v>
      </c>
      <c r="X34" s="222" t="s">
        <v>80</v>
      </c>
      <c r="Y34" s="2"/>
      <c r="AB34" s="27">
        <v>31</v>
      </c>
      <c r="AC34" s="25" t="str">
        <f t="shared" si="0"/>
        <v>0x0000001F</v>
      </c>
      <c r="AD34" s="222" t="s">
        <v>52</v>
      </c>
      <c r="AH34" s="1"/>
      <c r="AI34" s="25" t="str">
        <f t="shared" si="3"/>
        <v>0x0000001D</v>
      </c>
      <c r="AJ34" s="225"/>
      <c r="AL34" s="155"/>
      <c r="AM34" s="156"/>
      <c r="AN34" s="156"/>
      <c r="AO34" s="156"/>
      <c r="AP34" s="157"/>
      <c r="AQ34" s="2"/>
      <c r="AR34" s="2"/>
    </row>
    <row r="35" spans="2:44" ht="18.600000000000001" thickBot="1" x14ac:dyDescent="0.4">
      <c r="B35" s="2"/>
      <c r="D35" s="14"/>
      <c r="E35" s="7"/>
      <c r="F35" s="7"/>
      <c r="G35" s="7"/>
      <c r="H35" s="7"/>
      <c r="I35" s="7"/>
      <c r="J35" s="15"/>
      <c r="L35" s="14"/>
      <c r="M35" s="7"/>
      <c r="N35" s="143" t="s">
        <v>22</v>
      </c>
      <c r="O35" s="163"/>
      <c r="P35" s="7"/>
      <c r="Q35" s="15"/>
      <c r="R35" s="20"/>
      <c r="S35" s="20">
        <v>30</v>
      </c>
      <c r="T35" s="22" t="str">
        <f t="shared" si="1"/>
        <v>0x001E</v>
      </c>
      <c r="U35" s="222"/>
      <c r="V35" s="20">
        <v>30</v>
      </c>
      <c r="W35" s="9" t="str">
        <f t="shared" si="2"/>
        <v>0x001E</v>
      </c>
      <c r="X35" s="222" t="s">
        <v>52</v>
      </c>
      <c r="Y35" s="2"/>
      <c r="AB35" s="27">
        <v>32</v>
      </c>
      <c r="AC35" s="25" t="str">
        <f t="shared" si="0"/>
        <v>0x00000020</v>
      </c>
      <c r="AD35" s="222" t="s">
        <v>52</v>
      </c>
      <c r="AH35" s="1"/>
      <c r="AI35" s="25" t="str">
        <f t="shared" si="3"/>
        <v>0x0000001E</v>
      </c>
      <c r="AJ35" s="225"/>
      <c r="AL35" s="155"/>
      <c r="AM35" s="156"/>
      <c r="AN35" s="156"/>
      <c r="AO35" s="156"/>
      <c r="AP35" s="157"/>
      <c r="AQ35" s="2"/>
      <c r="AR35" s="2"/>
    </row>
    <row r="36" spans="2:44" ht="15" thickBot="1" x14ac:dyDescent="0.35">
      <c r="B36" s="2"/>
      <c r="D36" s="14"/>
      <c r="E36" s="7"/>
      <c r="F36" s="7"/>
      <c r="G36" s="7"/>
      <c r="H36" s="7"/>
      <c r="I36" s="7"/>
      <c r="J36" s="15"/>
      <c r="L36" s="14"/>
      <c r="M36" s="7"/>
      <c r="N36" s="229">
        <v>0</v>
      </c>
      <c r="O36" s="167"/>
      <c r="P36" s="7"/>
      <c r="Q36" s="15"/>
      <c r="R36" s="20"/>
      <c r="S36" s="20">
        <v>31</v>
      </c>
      <c r="T36" s="22" t="str">
        <f t="shared" si="1"/>
        <v>0x001F</v>
      </c>
      <c r="U36" s="222"/>
      <c r="V36" s="20">
        <v>31</v>
      </c>
      <c r="W36" s="9" t="str">
        <f t="shared" si="2"/>
        <v>0x001F</v>
      </c>
      <c r="X36" s="222" t="s">
        <v>52</v>
      </c>
      <c r="Y36" s="2"/>
      <c r="AB36" s="27">
        <v>33</v>
      </c>
      <c r="AC36" s="25" t="str">
        <f t="shared" si="0"/>
        <v>0x00000021</v>
      </c>
      <c r="AD36" s="222" t="s">
        <v>54</v>
      </c>
      <c r="AH36" s="1"/>
      <c r="AI36" s="25" t="str">
        <f t="shared" si="3"/>
        <v>0x0000001F</v>
      </c>
      <c r="AJ36" s="225"/>
      <c r="AL36" s="155"/>
      <c r="AM36" s="156"/>
      <c r="AN36" s="156"/>
      <c r="AO36" s="156"/>
      <c r="AP36" s="157"/>
      <c r="AQ36" s="2"/>
      <c r="AR36" s="2"/>
    </row>
    <row r="37" spans="2:44" x14ac:dyDescent="0.3">
      <c r="B37" s="2"/>
      <c r="D37" s="14"/>
      <c r="E37" s="7"/>
      <c r="F37" s="7"/>
      <c r="G37" s="7"/>
      <c r="H37" s="7"/>
      <c r="I37" s="7"/>
      <c r="J37" s="15"/>
      <c r="L37" s="14"/>
      <c r="M37" s="7"/>
      <c r="N37" s="7"/>
      <c r="O37" s="7"/>
      <c r="P37" s="7"/>
      <c r="Q37" s="15"/>
      <c r="R37" s="20"/>
      <c r="S37" s="20">
        <v>32</v>
      </c>
      <c r="T37" s="22" t="str">
        <f t="shared" si="1"/>
        <v>0x0020</v>
      </c>
      <c r="U37" s="222"/>
      <c r="V37" s="20">
        <v>32</v>
      </c>
      <c r="W37" s="9" t="str">
        <f t="shared" si="2"/>
        <v>0x0020</v>
      </c>
      <c r="X37" s="222" t="s">
        <v>52</v>
      </c>
      <c r="Y37" s="2"/>
      <c r="AB37" s="27">
        <v>34</v>
      </c>
      <c r="AC37" s="25" t="str">
        <f t="shared" si="0"/>
        <v>0x00000022</v>
      </c>
      <c r="AD37" s="222" t="s">
        <v>56</v>
      </c>
      <c r="AH37" s="1"/>
      <c r="AI37" s="25" t="str">
        <f t="shared" si="3"/>
        <v>0x00000020</v>
      </c>
      <c r="AJ37" s="225"/>
      <c r="AL37" s="155"/>
      <c r="AM37" s="156"/>
      <c r="AN37" s="156"/>
      <c r="AO37" s="156"/>
      <c r="AP37" s="157"/>
      <c r="AQ37" s="2"/>
      <c r="AR37" s="2"/>
    </row>
    <row r="38" spans="2:44" x14ac:dyDescent="0.3">
      <c r="B38" s="2"/>
      <c r="D38" s="14"/>
      <c r="E38" s="7"/>
      <c r="F38" s="7"/>
      <c r="G38" s="7"/>
      <c r="H38" s="7"/>
      <c r="I38" s="7"/>
      <c r="J38" s="15"/>
      <c r="L38" s="14"/>
      <c r="M38" s="7"/>
      <c r="N38" s="7"/>
      <c r="O38" s="7"/>
      <c r="P38" s="7"/>
      <c r="Q38" s="15"/>
      <c r="R38" s="20"/>
      <c r="S38" s="20">
        <v>33</v>
      </c>
      <c r="T38" s="22" t="str">
        <f t="shared" si="1"/>
        <v>0x0021</v>
      </c>
      <c r="U38" s="222"/>
      <c r="V38" s="20">
        <v>33</v>
      </c>
      <c r="W38" s="9" t="str">
        <f t="shared" si="2"/>
        <v>0x0021</v>
      </c>
      <c r="X38" s="222" t="s">
        <v>54</v>
      </c>
      <c r="Y38" s="2"/>
      <c r="AB38" s="27">
        <v>35</v>
      </c>
      <c r="AC38" s="25" t="str">
        <f t="shared" si="0"/>
        <v>0x00000023</v>
      </c>
      <c r="AD38" s="222" t="s">
        <v>51</v>
      </c>
      <c r="AH38" s="1"/>
      <c r="AI38" s="25" t="str">
        <f t="shared" si="3"/>
        <v>0x00000021</v>
      </c>
      <c r="AJ38" s="225"/>
      <c r="AL38" s="155"/>
      <c r="AM38" s="156"/>
      <c r="AN38" s="156"/>
      <c r="AO38" s="156"/>
      <c r="AP38" s="157"/>
      <c r="AQ38" s="2"/>
      <c r="AR38" s="2"/>
    </row>
    <row r="39" spans="2:44" ht="18" x14ac:dyDescent="0.35">
      <c r="B39" s="2"/>
      <c r="D39" s="14"/>
      <c r="E39" s="7"/>
      <c r="F39" s="7"/>
      <c r="G39" s="7"/>
      <c r="H39" s="7"/>
      <c r="I39" s="7"/>
      <c r="J39" s="15"/>
      <c r="L39" s="14"/>
      <c r="M39" s="7"/>
      <c r="N39" s="170"/>
      <c r="O39" s="171"/>
      <c r="P39" s="7"/>
      <c r="Q39" s="15"/>
      <c r="R39" s="20"/>
      <c r="S39" s="20">
        <v>34</v>
      </c>
      <c r="T39" s="22" t="str">
        <f t="shared" si="1"/>
        <v>0x0022</v>
      </c>
      <c r="U39" s="222"/>
      <c r="V39" s="20">
        <v>34</v>
      </c>
      <c r="W39" s="9" t="str">
        <f t="shared" si="2"/>
        <v>0x0022</v>
      </c>
      <c r="X39" s="222" t="s">
        <v>56</v>
      </c>
      <c r="Y39" s="2"/>
      <c r="AB39" s="27">
        <v>36</v>
      </c>
      <c r="AC39" s="25" t="str">
        <f t="shared" si="0"/>
        <v>0x00000024</v>
      </c>
      <c r="AD39" s="222" t="s">
        <v>79</v>
      </c>
      <c r="AH39" s="1"/>
      <c r="AI39" s="25" t="str">
        <f t="shared" si="3"/>
        <v>0x00000022</v>
      </c>
      <c r="AJ39" s="225"/>
      <c r="AL39" s="155"/>
      <c r="AM39" s="156"/>
      <c r="AN39" s="156"/>
      <c r="AO39" s="156"/>
      <c r="AP39" s="157"/>
      <c r="AQ39" s="2"/>
      <c r="AR39" s="2"/>
    </row>
    <row r="40" spans="2:44" x14ac:dyDescent="0.3">
      <c r="B40" s="2"/>
      <c r="D40" s="14"/>
      <c r="E40" s="7"/>
      <c r="F40" s="7"/>
      <c r="G40" s="7"/>
      <c r="H40" s="7"/>
      <c r="I40" s="7"/>
      <c r="J40" s="15"/>
      <c r="L40" s="14"/>
      <c r="M40" s="7"/>
      <c r="N40" s="172"/>
      <c r="O40" s="172"/>
      <c r="P40" s="7"/>
      <c r="Q40" s="15"/>
      <c r="R40" s="20"/>
      <c r="S40" s="20">
        <v>35</v>
      </c>
      <c r="T40" s="22" t="str">
        <f t="shared" si="1"/>
        <v>0x0023</v>
      </c>
      <c r="U40" s="222"/>
      <c r="V40" s="20">
        <v>35</v>
      </c>
      <c r="W40" s="9" t="str">
        <f t="shared" si="2"/>
        <v>0x0023</v>
      </c>
      <c r="X40" s="222" t="s">
        <v>51</v>
      </c>
      <c r="Y40" s="2"/>
      <c r="AB40" s="27">
        <v>37</v>
      </c>
      <c r="AC40" s="25" t="str">
        <f t="shared" si="0"/>
        <v>0x00000025</v>
      </c>
      <c r="AD40" s="222" t="s">
        <v>52</v>
      </c>
      <c r="AH40" s="1"/>
      <c r="AI40" s="25" t="str">
        <f t="shared" si="3"/>
        <v>0x00000023</v>
      </c>
      <c r="AJ40" s="225"/>
      <c r="AL40" s="155"/>
      <c r="AM40" s="156"/>
      <c r="AN40" s="156"/>
      <c r="AO40" s="156"/>
      <c r="AP40" s="157"/>
      <c r="AQ40" s="2"/>
      <c r="AR40" s="2"/>
    </row>
    <row r="41" spans="2:44" x14ac:dyDescent="0.3">
      <c r="B41" s="2"/>
      <c r="D41" s="14"/>
      <c r="E41" s="7"/>
      <c r="F41" s="7"/>
      <c r="G41" s="7"/>
      <c r="H41" s="7"/>
      <c r="I41" s="7"/>
      <c r="J41" s="15"/>
      <c r="L41" s="14"/>
      <c r="M41" s="7"/>
      <c r="N41" s="7"/>
      <c r="O41" s="7"/>
      <c r="P41" s="7"/>
      <c r="Q41" s="15"/>
      <c r="R41" s="20"/>
      <c r="S41" s="20">
        <v>36</v>
      </c>
      <c r="T41" s="22" t="str">
        <f t="shared" si="1"/>
        <v>0x0024</v>
      </c>
      <c r="U41" s="222"/>
      <c r="V41" s="20">
        <v>36</v>
      </c>
      <c r="W41" s="9" t="str">
        <f t="shared" si="2"/>
        <v>0x0024</v>
      </c>
      <c r="X41" s="222" t="s">
        <v>79</v>
      </c>
      <c r="Y41" s="2"/>
      <c r="AB41" s="27">
        <v>38</v>
      </c>
      <c r="AC41" s="25" t="str">
        <f t="shared" si="0"/>
        <v>0x00000026</v>
      </c>
      <c r="AD41" s="222" t="s">
        <v>52</v>
      </c>
      <c r="AH41" s="1"/>
      <c r="AI41" s="25" t="str">
        <f t="shared" si="3"/>
        <v>0x00000024</v>
      </c>
      <c r="AJ41" s="225"/>
      <c r="AL41" s="155"/>
      <c r="AM41" s="156"/>
      <c r="AN41" s="156"/>
      <c r="AO41" s="156"/>
      <c r="AP41" s="157"/>
      <c r="AQ41" s="2"/>
      <c r="AR41" s="2"/>
    </row>
    <row r="42" spans="2:44" ht="15" thickBot="1" x14ac:dyDescent="0.35">
      <c r="B42" s="2"/>
      <c r="D42" s="14"/>
      <c r="E42" s="7"/>
      <c r="F42" s="7"/>
      <c r="G42" s="7"/>
      <c r="H42" s="7"/>
      <c r="I42" s="7"/>
      <c r="J42" s="15"/>
      <c r="L42" s="16"/>
      <c r="M42" s="17"/>
      <c r="N42" s="17"/>
      <c r="O42" s="17"/>
      <c r="P42" s="17"/>
      <c r="Q42" s="18"/>
      <c r="R42" s="20"/>
      <c r="S42" s="20">
        <v>37</v>
      </c>
      <c r="T42" s="23" t="str">
        <f t="shared" si="1"/>
        <v>0x0025</v>
      </c>
      <c r="U42" s="223"/>
      <c r="V42" s="20">
        <v>37</v>
      </c>
      <c r="W42" s="9" t="str">
        <f t="shared" si="2"/>
        <v>0x0025</v>
      </c>
      <c r="X42" s="222" t="s">
        <v>52</v>
      </c>
      <c r="Y42" s="2"/>
      <c r="AB42" s="27">
        <v>39</v>
      </c>
      <c r="AC42" s="25" t="str">
        <f t="shared" si="0"/>
        <v>0x00000027</v>
      </c>
      <c r="AD42" s="222" t="s">
        <v>52</v>
      </c>
      <c r="AH42" s="1"/>
      <c r="AI42" s="25" t="str">
        <f t="shared" si="3"/>
        <v>0x00000025</v>
      </c>
      <c r="AJ42" s="225"/>
      <c r="AL42" s="155"/>
      <c r="AM42" s="156"/>
      <c r="AN42" s="156"/>
      <c r="AO42" s="156"/>
      <c r="AP42" s="157"/>
      <c r="AQ42" s="2"/>
      <c r="AR42" s="2"/>
    </row>
    <row r="43" spans="2:44" ht="15" thickBot="1" x14ac:dyDescent="0.35">
      <c r="B43" s="2"/>
      <c r="D43" s="16"/>
      <c r="E43" s="17"/>
      <c r="F43" s="17"/>
      <c r="G43" s="17"/>
      <c r="H43" s="17"/>
      <c r="I43" s="17"/>
      <c r="J43" s="18"/>
      <c r="S43" s="20">
        <v>38</v>
      </c>
      <c r="V43" s="20">
        <v>38</v>
      </c>
      <c r="W43" s="9" t="str">
        <f t="shared" si="2"/>
        <v>0x0026</v>
      </c>
      <c r="X43" s="222" t="s">
        <v>52</v>
      </c>
      <c r="Y43" s="2"/>
      <c r="AB43" s="27">
        <v>40</v>
      </c>
      <c r="AC43" s="25" t="str">
        <f t="shared" si="0"/>
        <v>0x00000028</v>
      </c>
      <c r="AD43" s="222" t="s">
        <v>54</v>
      </c>
      <c r="AH43" s="1"/>
      <c r="AI43" s="25" t="str">
        <f t="shared" si="3"/>
        <v>0x00000026</v>
      </c>
      <c r="AJ43" s="225"/>
      <c r="AL43" s="155"/>
      <c r="AM43" s="156"/>
      <c r="AN43" s="156"/>
      <c r="AO43" s="156"/>
      <c r="AP43" s="157"/>
      <c r="AQ43" s="2"/>
      <c r="AR43" s="2"/>
    </row>
    <row r="44" spans="2:44" x14ac:dyDescent="0.3">
      <c r="B44" s="2"/>
      <c r="O44" s="235" t="s">
        <v>57</v>
      </c>
      <c r="P44" s="236"/>
      <c r="Q44" s="236"/>
      <c r="R44" s="236"/>
      <c r="S44" s="236"/>
      <c r="T44" s="236"/>
      <c r="U44" s="237"/>
      <c r="V44" s="20">
        <v>39</v>
      </c>
      <c r="W44" s="9" t="str">
        <f t="shared" si="2"/>
        <v>0x0027</v>
      </c>
      <c r="X44" s="222" t="s">
        <v>52</v>
      </c>
      <c r="Y44" s="2"/>
      <c r="AB44" s="27">
        <v>41</v>
      </c>
      <c r="AC44" s="25" t="str">
        <f t="shared" si="0"/>
        <v>0x00000029</v>
      </c>
      <c r="AD44" s="222" t="s">
        <v>56</v>
      </c>
      <c r="AH44" s="1"/>
      <c r="AI44" s="25" t="str">
        <f t="shared" si="3"/>
        <v>0x00000027</v>
      </c>
      <c r="AJ44" s="225"/>
      <c r="AL44" s="155"/>
      <c r="AM44" s="156"/>
      <c r="AN44" s="156"/>
      <c r="AO44" s="156"/>
      <c r="AP44" s="157"/>
      <c r="AQ44" s="2"/>
      <c r="AR44" s="2"/>
    </row>
    <row r="45" spans="2:44" x14ac:dyDescent="0.3">
      <c r="B45" s="2"/>
      <c r="O45" s="238" t="s">
        <v>58</v>
      </c>
      <c r="P45" s="82" t="s">
        <v>78</v>
      </c>
      <c r="Q45" s="83"/>
      <c r="R45" s="83"/>
      <c r="S45" s="83"/>
      <c r="T45" s="83"/>
      <c r="U45" s="213"/>
      <c r="V45" s="20">
        <v>40</v>
      </c>
      <c r="W45" s="9" t="str">
        <f t="shared" si="2"/>
        <v>0x0028</v>
      </c>
      <c r="X45" s="222" t="s">
        <v>54</v>
      </c>
      <c r="Y45" s="2"/>
      <c r="AB45" s="27">
        <v>42</v>
      </c>
      <c r="AC45" s="25" t="str">
        <f t="shared" si="0"/>
        <v>0x0000002A</v>
      </c>
      <c r="AD45" s="222"/>
      <c r="AH45" s="1"/>
      <c r="AI45" s="25" t="str">
        <f t="shared" si="3"/>
        <v>0x00000028</v>
      </c>
      <c r="AJ45" s="225"/>
      <c r="AL45" s="155"/>
      <c r="AM45" s="156"/>
      <c r="AN45" s="156"/>
      <c r="AO45" s="156"/>
      <c r="AP45" s="157"/>
      <c r="AQ45" s="2"/>
      <c r="AR45" s="2"/>
    </row>
    <row r="46" spans="2:44" x14ac:dyDescent="0.3">
      <c r="B46" s="2"/>
      <c r="O46" s="238" t="s">
        <v>59</v>
      </c>
      <c r="P46" s="230" t="s">
        <v>67</v>
      </c>
      <c r="Q46" s="231"/>
      <c r="R46" s="231"/>
      <c r="S46" s="231"/>
      <c r="T46" s="231"/>
      <c r="U46" s="232"/>
      <c r="V46" s="20">
        <v>41</v>
      </c>
      <c r="W46" s="9" t="str">
        <f t="shared" si="2"/>
        <v>0x0029</v>
      </c>
      <c r="X46" s="222" t="s">
        <v>56</v>
      </c>
      <c r="Y46" s="2"/>
      <c r="AB46" s="27">
        <v>43</v>
      </c>
      <c r="AC46" s="25" t="str">
        <f t="shared" si="0"/>
        <v>0x0000002B</v>
      </c>
      <c r="AD46" s="222"/>
      <c r="AH46" s="1"/>
      <c r="AI46" s="25" t="str">
        <f t="shared" si="3"/>
        <v>0x00000029</v>
      </c>
      <c r="AJ46" s="225"/>
      <c r="AL46" s="155"/>
      <c r="AM46" s="156"/>
      <c r="AN46" s="156"/>
      <c r="AO46" s="156"/>
      <c r="AP46" s="157"/>
      <c r="AQ46" s="2"/>
      <c r="AR46" s="2"/>
    </row>
    <row r="47" spans="2:44" x14ac:dyDescent="0.3">
      <c r="B47" s="2"/>
      <c r="O47" s="238" t="s">
        <v>60</v>
      </c>
      <c r="P47" s="82" t="s">
        <v>68</v>
      </c>
      <c r="Q47" s="83"/>
      <c r="R47" s="83"/>
      <c r="S47" s="83"/>
      <c r="T47" s="83"/>
      <c r="U47" s="213"/>
      <c r="V47" s="20">
        <v>42</v>
      </c>
      <c r="W47" s="9" t="str">
        <f t="shared" si="2"/>
        <v>0x002A</v>
      </c>
      <c r="X47" s="222"/>
      <c r="Y47" s="2"/>
      <c r="AB47" s="27">
        <v>44</v>
      </c>
      <c r="AC47" s="25" t="str">
        <f t="shared" si="0"/>
        <v>0x0000002C</v>
      </c>
      <c r="AD47" s="222"/>
      <c r="AH47" s="1"/>
      <c r="AI47" s="25" t="str">
        <f t="shared" si="3"/>
        <v>0x0000002A</v>
      </c>
      <c r="AJ47" s="225"/>
      <c r="AL47" s="155"/>
      <c r="AM47" s="156"/>
      <c r="AN47" s="156"/>
      <c r="AO47" s="156"/>
      <c r="AP47" s="157"/>
      <c r="AQ47" s="2"/>
      <c r="AR47" s="2"/>
    </row>
    <row r="48" spans="2:44" x14ac:dyDescent="0.3">
      <c r="B48" s="2"/>
      <c r="O48" s="238" t="s">
        <v>61</v>
      </c>
      <c r="P48" s="82" t="s">
        <v>69</v>
      </c>
      <c r="Q48" s="83"/>
      <c r="R48" s="83"/>
      <c r="S48" s="83"/>
      <c r="T48" s="83"/>
      <c r="U48" s="213"/>
      <c r="V48" s="20">
        <v>43</v>
      </c>
      <c r="W48" s="9" t="str">
        <f t="shared" si="2"/>
        <v>0x002B</v>
      </c>
      <c r="X48" s="222"/>
      <c r="Y48" s="2"/>
      <c r="AB48" s="27">
        <v>45</v>
      </c>
      <c r="AC48" s="25" t="str">
        <f t="shared" si="0"/>
        <v>0x0000002D</v>
      </c>
      <c r="AD48" s="222"/>
      <c r="AH48" s="1"/>
      <c r="AI48" s="25" t="str">
        <f t="shared" si="3"/>
        <v>0x0000002B</v>
      </c>
      <c r="AJ48" s="225"/>
      <c r="AL48" s="155"/>
      <c r="AM48" s="156"/>
      <c r="AN48" s="156"/>
      <c r="AO48" s="156"/>
      <c r="AP48" s="157"/>
      <c r="AQ48" s="2"/>
      <c r="AR48" s="2"/>
    </row>
    <row r="49" spans="2:44" x14ac:dyDescent="0.3">
      <c r="B49" s="2"/>
      <c r="O49" s="238" t="s">
        <v>62</v>
      </c>
      <c r="P49" s="82"/>
      <c r="Q49" s="83"/>
      <c r="R49" s="83"/>
      <c r="S49" s="83"/>
      <c r="T49" s="83"/>
      <c r="U49" s="213"/>
      <c r="V49" s="20">
        <v>44</v>
      </c>
      <c r="W49" s="9" t="str">
        <f t="shared" si="2"/>
        <v>0x002C</v>
      </c>
      <c r="X49" s="222"/>
      <c r="Y49" s="2"/>
      <c r="AB49" s="27">
        <v>46</v>
      </c>
      <c r="AC49" s="25" t="str">
        <f t="shared" si="0"/>
        <v>0x0000002E</v>
      </c>
      <c r="AD49" s="222"/>
      <c r="AH49" s="1"/>
      <c r="AI49" s="25" t="str">
        <f t="shared" si="3"/>
        <v>0x0000002C</v>
      </c>
      <c r="AJ49" s="225"/>
      <c r="AL49" s="155"/>
      <c r="AM49" s="156"/>
      <c r="AN49" s="156"/>
      <c r="AO49" s="156"/>
      <c r="AP49" s="157"/>
      <c r="AQ49" s="2"/>
      <c r="AR49" s="2"/>
    </row>
    <row r="50" spans="2:44" x14ac:dyDescent="0.3">
      <c r="B50" s="2"/>
      <c r="O50" s="214"/>
      <c r="P50" s="80"/>
      <c r="Q50" s="80"/>
      <c r="R50" s="80"/>
      <c r="S50" s="81"/>
      <c r="T50" s="80"/>
      <c r="U50" s="215"/>
      <c r="V50" s="20">
        <v>45</v>
      </c>
      <c r="W50" s="9" t="str">
        <f t="shared" si="2"/>
        <v>0x002D</v>
      </c>
      <c r="X50" s="222"/>
      <c r="Y50" s="2"/>
      <c r="AB50" s="27">
        <v>47</v>
      </c>
      <c r="AC50" s="25" t="str">
        <f t="shared" si="0"/>
        <v>0x0000002F</v>
      </c>
      <c r="AD50" s="222"/>
      <c r="AH50" s="1"/>
      <c r="AI50" s="25" t="str">
        <f t="shared" si="3"/>
        <v>0x0000002D</v>
      </c>
      <c r="AJ50" s="225"/>
      <c r="AL50" s="155"/>
      <c r="AM50" s="156"/>
      <c r="AN50" s="156"/>
      <c r="AO50" s="156"/>
      <c r="AP50" s="157"/>
      <c r="AQ50" s="2"/>
      <c r="AR50" s="2"/>
    </row>
    <row r="51" spans="2:44" x14ac:dyDescent="0.3">
      <c r="B51" s="2"/>
      <c r="O51" s="238" t="s">
        <v>58</v>
      </c>
      <c r="P51" s="239" t="s">
        <v>63</v>
      </c>
      <c r="Q51" s="239" t="s">
        <v>64</v>
      </c>
      <c r="R51" s="239" t="s">
        <v>65</v>
      </c>
      <c r="S51" s="239" t="s">
        <v>62</v>
      </c>
      <c r="T51" s="220"/>
      <c r="U51" s="240"/>
      <c r="V51" s="20">
        <v>46</v>
      </c>
      <c r="W51" s="9" t="str">
        <f t="shared" si="2"/>
        <v>0x002E</v>
      </c>
      <c r="X51" s="222"/>
      <c r="Y51" s="2"/>
      <c r="AB51" s="27">
        <v>48</v>
      </c>
      <c r="AC51" s="25" t="str">
        <f t="shared" si="0"/>
        <v>0x00000030</v>
      </c>
      <c r="AD51" s="222"/>
      <c r="AH51" s="1"/>
      <c r="AI51" s="25" t="str">
        <f t="shared" si="3"/>
        <v>0x0000002E</v>
      </c>
      <c r="AJ51" s="225"/>
      <c r="AL51" s="155"/>
      <c r="AM51" s="156"/>
      <c r="AN51" s="156"/>
      <c r="AO51" s="156"/>
      <c r="AP51" s="157"/>
      <c r="AQ51" s="2"/>
      <c r="AR51" s="2"/>
    </row>
    <row r="52" spans="2:44" x14ac:dyDescent="0.3">
      <c r="B52" s="2"/>
      <c r="O52" s="214" t="s">
        <v>74</v>
      </c>
      <c r="P52" s="80" t="s">
        <v>67</v>
      </c>
      <c r="Q52" s="80" t="s">
        <v>68</v>
      </c>
      <c r="R52" s="80" t="s">
        <v>69</v>
      </c>
      <c r="S52" s="81"/>
      <c r="T52" s="80"/>
      <c r="U52" s="215"/>
      <c r="V52" s="20">
        <v>47</v>
      </c>
      <c r="W52" s="9" t="str">
        <f t="shared" si="2"/>
        <v>0x002F</v>
      </c>
      <c r="X52" s="222"/>
      <c r="Y52" s="2"/>
      <c r="AB52" s="27">
        <v>49</v>
      </c>
      <c r="AC52" s="25" t="str">
        <f t="shared" si="0"/>
        <v>0x00000031</v>
      </c>
      <c r="AD52" s="222"/>
      <c r="AH52" s="1"/>
      <c r="AI52" s="25" t="str">
        <f t="shared" si="3"/>
        <v>0x0000002F</v>
      </c>
      <c r="AJ52" s="225"/>
      <c r="AL52" s="155"/>
      <c r="AM52" s="156"/>
      <c r="AN52" s="156"/>
      <c r="AO52" s="156"/>
      <c r="AP52" s="157"/>
      <c r="AQ52" s="2"/>
      <c r="AR52" s="2"/>
    </row>
    <row r="53" spans="2:44" x14ac:dyDescent="0.3">
      <c r="B53" s="2"/>
      <c r="O53" s="214" t="s">
        <v>75</v>
      </c>
      <c r="P53" s="80" t="s">
        <v>67</v>
      </c>
      <c r="Q53" s="80" t="s">
        <v>68</v>
      </c>
      <c r="R53" s="80" t="s">
        <v>69</v>
      </c>
      <c r="S53" s="81"/>
      <c r="T53" s="80"/>
      <c r="U53" s="215"/>
      <c r="V53" s="20">
        <v>48</v>
      </c>
      <c r="W53" s="9" t="str">
        <f t="shared" si="2"/>
        <v>0x0030</v>
      </c>
      <c r="X53" s="222"/>
      <c r="Y53" s="2"/>
      <c r="AB53" s="27">
        <v>50</v>
      </c>
      <c r="AC53" s="25" t="str">
        <f t="shared" si="0"/>
        <v>0x00000032</v>
      </c>
      <c r="AD53" s="222"/>
      <c r="AH53" s="1"/>
      <c r="AI53" s="25" t="str">
        <f t="shared" si="3"/>
        <v>0x00000030</v>
      </c>
      <c r="AJ53" s="225"/>
      <c r="AL53" s="155"/>
      <c r="AM53" s="156"/>
      <c r="AN53" s="156"/>
      <c r="AO53" s="156"/>
      <c r="AP53" s="157"/>
      <c r="AQ53" s="2"/>
      <c r="AR53" s="2"/>
    </row>
    <row r="54" spans="2:44" x14ac:dyDescent="0.3">
      <c r="B54" s="2"/>
      <c r="O54" s="214" t="s">
        <v>76</v>
      </c>
      <c r="P54" s="80" t="s">
        <v>67</v>
      </c>
      <c r="Q54" s="80" t="s">
        <v>68</v>
      </c>
      <c r="R54" s="80" t="s">
        <v>69</v>
      </c>
      <c r="S54" s="81"/>
      <c r="T54" s="80"/>
      <c r="U54" s="215"/>
      <c r="V54" s="20">
        <v>49</v>
      </c>
      <c r="W54" s="9" t="str">
        <f t="shared" si="2"/>
        <v>0x0031</v>
      </c>
      <c r="X54" s="222"/>
      <c r="Y54" s="2"/>
      <c r="AB54" s="27">
        <v>51</v>
      </c>
      <c r="AC54" s="25" t="str">
        <f t="shared" si="0"/>
        <v>0x00000033</v>
      </c>
      <c r="AD54" s="222"/>
      <c r="AH54" s="1"/>
      <c r="AI54" s="25" t="str">
        <f t="shared" si="3"/>
        <v>0x00000031</v>
      </c>
      <c r="AJ54" s="225"/>
      <c r="AL54" s="155"/>
      <c r="AM54" s="156"/>
      <c r="AN54" s="156"/>
      <c r="AO54" s="156"/>
      <c r="AP54" s="157"/>
      <c r="AQ54" s="2"/>
      <c r="AR54" s="2"/>
    </row>
    <row r="55" spans="2:44" x14ac:dyDescent="0.3">
      <c r="B55" s="2"/>
      <c r="O55" s="214" t="s">
        <v>77</v>
      </c>
      <c r="P55" s="80" t="s">
        <v>67</v>
      </c>
      <c r="Q55" s="80" t="s">
        <v>68</v>
      </c>
      <c r="R55" s="80" t="s">
        <v>69</v>
      </c>
      <c r="S55" s="81"/>
      <c r="T55" s="80"/>
      <c r="U55" s="215"/>
      <c r="V55" s="20">
        <v>50</v>
      </c>
      <c r="W55" s="9" t="str">
        <f t="shared" si="2"/>
        <v>0x0032</v>
      </c>
      <c r="X55" s="222"/>
      <c r="Y55" s="2"/>
      <c r="AB55" s="27">
        <v>52</v>
      </c>
      <c r="AC55" s="25" t="str">
        <f t="shared" si="0"/>
        <v>0x00000034</v>
      </c>
      <c r="AD55" s="222"/>
      <c r="AH55" s="1"/>
      <c r="AI55" s="25" t="str">
        <f t="shared" si="3"/>
        <v>0x00000032</v>
      </c>
      <c r="AJ55" s="225"/>
      <c r="AL55" s="155"/>
      <c r="AM55" s="156"/>
      <c r="AN55" s="156"/>
      <c r="AO55" s="156"/>
      <c r="AP55" s="157"/>
      <c r="AQ55" s="2"/>
      <c r="AR55" s="2"/>
    </row>
    <row r="56" spans="2:44" ht="15" thickBot="1" x14ac:dyDescent="0.35">
      <c r="B56" s="2"/>
      <c r="O56" s="216" t="s">
        <v>78</v>
      </c>
      <c r="P56" s="217" t="s">
        <v>67</v>
      </c>
      <c r="Q56" s="217" t="s">
        <v>68</v>
      </c>
      <c r="R56" s="217" t="s">
        <v>69</v>
      </c>
      <c r="S56" s="218"/>
      <c r="T56" s="217"/>
      <c r="U56" s="219"/>
      <c r="V56" s="20">
        <v>51</v>
      </c>
      <c r="W56" s="9" t="str">
        <f t="shared" si="2"/>
        <v>0x0033</v>
      </c>
      <c r="X56" s="222"/>
      <c r="Y56" s="2"/>
      <c r="AB56" s="27">
        <v>53</v>
      </c>
      <c r="AC56" s="25" t="str">
        <f t="shared" si="0"/>
        <v>0x00000035</v>
      </c>
      <c r="AD56" s="222"/>
      <c r="AH56" s="1"/>
      <c r="AI56" s="25" t="str">
        <f t="shared" si="3"/>
        <v>0x00000033</v>
      </c>
      <c r="AJ56" s="225"/>
      <c r="AL56" s="155"/>
      <c r="AM56" s="156"/>
      <c r="AN56" s="156"/>
      <c r="AO56" s="156"/>
      <c r="AP56" s="157"/>
      <c r="AQ56" s="2"/>
      <c r="AR56" s="2"/>
    </row>
    <row r="57" spans="2:44" x14ac:dyDescent="0.3">
      <c r="B57" s="2"/>
      <c r="S57" s="20">
        <v>52</v>
      </c>
      <c r="V57" s="20">
        <v>52</v>
      </c>
      <c r="W57" s="9" t="str">
        <f t="shared" si="2"/>
        <v>0x0034</v>
      </c>
      <c r="X57" s="222"/>
      <c r="Y57" s="2"/>
      <c r="AB57" s="27">
        <v>54</v>
      </c>
      <c r="AC57" s="25" t="str">
        <f t="shared" si="0"/>
        <v>0x00000036</v>
      </c>
      <c r="AD57" s="222"/>
      <c r="AH57" s="1"/>
      <c r="AI57" s="25" t="str">
        <f t="shared" si="3"/>
        <v>0x00000034</v>
      </c>
      <c r="AJ57" s="225"/>
      <c r="AL57" s="155"/>
      <c r="AM57" s="156"/>
      <c r="AN57" s="156"/>
      <c r="AO57" s="156"/>
      <c r="AP57" s="157"/>
      <c r="AQ57" s="2"/>
      <c r="AR57" s="2"/>
    </row>
    <row r="58" spans="2:44" x14ac:dyDescent="0.3">
      <c r="B58" s="2"/>
      <c r="S58" s="20">
        <v>53</v>
      </c>
      <c r="V58" s="20">
        <v>53</v>
      </c>
      <c r="W58" s="9" t="str">
        <f t="shared" si="2"/>
        <v>0x0035</v>
      </c>
      <c r="X58" s="222"/>
      <c r="Y58" s="2"/>
      <c r="AB58" s="27">
        <v>55</v>
      </c>
      <c r="AC58" s="25" t="str">
        <f t="shared" si="0"/>
        <v>0x00000037</v>
      </c>
      <c r="AD58" s="222"/>
      <c r="AH58" s="1"/>
      <c r="AI58" s="25" t="str">
        <f t="shared" si="3"/>
        <v>0x00000035</v>
      </c>
      <c r="AJ58" s="225"/>
      <c r="AL58" s="155"/>
      <c r="AM58" s="156"/>
      <c r="AN58" s="156"/>
      <c r="AO58" s="156"/>
      <c r="AP58" s="157"/>
      <c r="AQ58" s="2"/>
      <c r="AR58" s="2"/>
    </row>
    <row r="59" spans="2:44" x14ac:dyDescent="0.3">
      <c r="B59" s="2"/>
      <c r="S59" s="20">
        <v>54</v>
      </c>
      <c r="V59" s="20">
        <v>54</v>
      </c>
      <c r="W59" s="9" t="str">
        <f t="shared" si="2"/>
        <v>0x0036</v>
      </c>
      <c r="X59" s="222"/>
      <c r="Y59" s="2"/>
      <c r="AB59" s="27">
        <v>56</v>
      </c>
      <c r="AC59" s="25" t="str">
        <f t="shared" si="0"/>
        <v>0x00000038</v>
      </c>
      <c r="AD59" s="222"/>
      <c r="AH59" s="1"/>
      <c r="AI59" s="25" t="str">
        <f t="shared" si="3"/>
        <v>0x00000036</v>
      </c>
      <c r="AJ59" s="225"/>
      <c r="AL59" s="155"/>
      <c r="AM59" s="156"/>
      <c r="AN59" s="156"/>
      <c r="AO59" s="156"/>
      <c r="AP59" s="157"/>
      <c r="AQ59" s="2"/>
      <c r="AR59" s="2"/>
    </row>
    <row r="60" spans="2:44" x14ac:dyDescent="0.3">
      <c r="B60" s="2"/>
      <c r="S60" s="20">
        <v>55</v>
      </c>
      <c r="V60" s="20">
        <v>55</v>
      </c>
      <c r="W60" s="9" t="str">
        <f t="shared" si="2"/>
        <v>0x0037</v>
      </c>
      <c r="X60" s="222"/>
      <c r="Y60" s="2"/>
      <c r="AB60" s="27">
        <v>57</v>
      </c>
      <c r="AC60" s="25" t="str">
        <f t="shared" si="0"/>
        <v>0x00000039</v>
      </c>
      <c r="AD60" s="222"/>
      <c r="AH60" s="1"/>
      <c r="AI60" s="25" t="str">
        <f t="shared" si="3"/>
        <v>0x00000037</v>
      </c>
      <c r="AJ60" s="225"/>
      <c r="AL60" s="155"/>
      <c r="AM60" s="156"/>
      <c r="AN60" s="156"/>
      <c r="AO60" s="156"/>
      <c r="AP60" s="157"/>
      <c r="AQ60" s="2"/>
      <c r="AR60" s="2"/>
    </row>
    <row r="61" spans="2:44" x14ac:dyDescent="0.3">
      <c r="B61" s="2"/>
      <c r="S61" s="20">
        <v>56</v>
      </c>
      <c r="V61" s="20">
        <v>56</v>
      </c>
      <c r="W61" s="9" t="str">
        <f t="shared" si="2"/>
        <v>0x0038</v>
      </c>
      <c r="X61" s="222"/>
      <c r="Y61" s="2"/>
      <c r="AB61" s="27">
        <v>58</v>
      </c>
      <c r="AC61" s="25" t="str">
        <f t="shared" si="0"/>
        <v>0x0000003A</v>
      </c>
      <c r="AD61" s="222"/>
      <c r="AH61" s="1"/>
      <c r="AI61" s="25" t="str">
        <f t="shared" si="3"/>
        <v>0x00000038</v>
      </c>
      <c r="AJ61" s="225"/>
      <c r="AL61" s="155"/>
      <c r="AM61" s="156"/>
      <c r="AN61" s="156"/>
      <c r="AO61" s="156"/>
      <c r="AP61" s="157"/>
      <c r="AQ61" s="2"/>
      <c r="AR61" s="2"/>
    </row>
    <row r="62" spans="2:44" x14ac:dyDescent="0.3">
      <c r="B62" s="2"/>
      <c r="S62" s="20">
        <v>57</v>
      </c>
      <c r="V62" s="20">
        <v>57</v>
      </c>
      <c r="W62" s="9" t="str">
        <f t="shared" si="2"/>
        <v>0x0039</v>
      </c>
      <c r="X62" s="222"/>
      <c r="Y62" s="2"/>
      <c r="AB62" s="27">
        <v>59</v>
      </c>
      <c r="AC62" s="25" t="str">
        <f t="shared" si="0"/>
        <v>0x0000003B</v>
      </c>
      <c r="AD62" s="222"/>
      <c r="AH62" s="1"/>
      <c r="AI62" s="25" t="str">
        <f t="shared" si="3"/>
        <v>0x00000039</v>
      </c>
      <c r="AJ62" s="225"/>
      <c r="AL62" s="155"/>
      <c r="AM62" s="156"/>
      <c r="AN62" s="156"/>
      <c r="AO62" s="156"/>
      <c r="AP62" s="157"/>
      <c r="AQ62" s="2"/>
      <c r="AR62" s="2"/>
    </row>
    <row r="63" spans="2:44" x14ac:dyDescent="0.3">
      <c r="B63" s="2"/>
      <c r="S63" s="20">
        <v>58</v>
      </c>
      <c r="V63" s="20">
        <v>58</v>
      </c>
      <c r="W63" s="9" t="str">
        <f t="shared" si="2"/>
        <v>0x003A</v>
      </c>
      <c r="X63" s="222"/>
      <c r="Y63" s="2"/>
      <c r="AB63" s="27">
        <v>60</v>
      </c>
      <c r="AC63" s="25" t="str">
        <f t="shared" si="0"/>
        <v>0x0000003C</v>
      </c>
      <c r="AD63" s="222"/>
      <c r="AH63" s="1"/>
      <c r="AI63" s="25" t="str">
        <f t="shared" si="3"/>
        <v>0x0000003A</v>
      </c>
      <c r="AJ63" s="225"/>
      <c r="AL63" s="155"/>
      <c r="AM63" s="156"/>
      <c r="AN63" s="156"/>
      <c r="AO63" s="156"/>
      <c r="AP63" s="157"/>
      <c r="AQ63" s="2"/>
      <c r="AR63" s="2"/>
    </row>
    <row r="64" spans="2:44" x14ac:dyDescent="0.3">
      <c r="B64" s="2"/>
      <c r="S64" s="20">
        <v>59</v>
      </c>
      <c r="V64" s="20">
        <v>59</v>
      </c>
      <c r="W64" s="9" t="str">
        <f t="shared" si="2"/>
        <v>0x003B</v>
      </c>
      <c r="X64" s="222"/>
      <c r="Y64" s="2"/>
      <c r="AB64" s="27">
        <v>61</v>
      </c>
      <c r="AC64" s="25" t="str">
        <f t="shared" si="0"/>
        <v>0x0000003D</v>
      </c>
      <c r="AD64" s="222"/>
      <c r="AH64" s="1"/>
      <c r="AI64" s="25" t="str">
        <f t="shared" si="3"/>
        <v>0x0000003B</v>
      </c>
      <c r="AJ64" s="225"/>
      <c r="AL64" s="155"/>
      <c r="AM64" s="156"/>
      <c r="AN64" s="156"/>
      <c r="AO64" s="156"/>
      <c r="AP64" s="157"/>
      <c r="AQ64" s="2"/>
      <c r="AR64" s="2"/>
    </row>
    <row r="65" spans="2:44" x14ac:dyDescent="0.3">
      <c r="B65" s="2"/>
      <c r="S65" s="20">
        <v>60</v>
      </c>
      <c r="V65" s="20">
        <v>60</v>
      </c>
      <c r="W65" s="9" t="str">
        <f t="shared" si="2"/>
        <v>0x003C</v>
      </c>
      <c r="X65" s="222"/>
      <c r="Y65" s="2"/>
      <c r="AB65" s="27">
        <v>62</v>
      </c>
      <c r="AC65" s="25" t="str">
        <f t="shared" si="0"/>
        <v>0x0000003E</v>
      </c>
      <c r="AD65" s="222"/>
      <c r="AH65" s="1"/>
      <c r="AI65" s="25" t="str">
        <f t="shared" si="3"/>
        <v>0x0000003C</v>
      </c>
      <c r="AJ65" s="225"/>
      <c r="AL65" s="155"/>
      <c r="AM65" s="156"/>
      <c r="AN65" s="156"/>
      <c r="AO65" s="156"/>
      <c r="AP65" s="157"/>
      <c r="AQ65" s="2"/>
      <c r="AR65" s="2"/>
    </row>
    <row r="66" spans="2:44" ht="15" thickBot="1" x14ac:dyDescent="0.35">
      <c r="B66" s="2"/>
      <c r="S66" s="20">
        <v>61</v>
      </c>
      <c r="V66" s="20">
        <v>61</v>
      </c>
      <c r="W66" s="10" t="str">
        <f t="shared" si="2"/>
        <v>0x003D</v>
      </c>
      <c r="X66" s="223"/>
      <c r="Y66" s="2"/>
      <c r="AB66" s="27">
        <v>63</v>
      </c>
      <c r="AC66" s="25" t="str">
        <f t="shared" si="0"/>
        <v>0x0000003F</v>
      </c>
      <c r="AD66" s="222"/>
      <c r="AH66" s="1"/>
      <c r="AI66" s="25" t="str">
        <f t="shared" si="3"/>
        <v>0x0000003D</v>
      </c>
      <c r="AJ66" s="225"/>
      <c r="AL66" s="155"/>
      <c r="AM66" s="156"/>
      <c r="AN66" s="156"/>
      <c r="AO66" s="156"/>
      <c r="AP66" s="157"/>
      <c r="AQ66" s="2"/>
      <c r="AR66" s="2"/>
    </row>
    <row r="67" spans="2:44" x14ac:dyDescent="0.3">
      <c r="B67" s="2"/>
      <c r="Y67" s="2"/>
      <c r="AB67" s="27">
        <v>64</v>
      </c>
      <c r="AC67" s="25" t="str">
        <f t="shared" si="0"/>
        <v>0x00000040</v>
      </c>
      <c r="AD67" s="222"/>
      <c r="AH67" s="1"/>
      <c r="AI67" s="25" t="str">
        <f t="shared" si="3"/>
        <v>0x0000003E</v>
      </c>
      <c r="AJ67" s="225"/>
      <c r="AL67" s="155"/>
      <c r="AM67" s="156"/>
      <c r="AN67" s="156"/>
      <c r="AO67" s="156"/>
      <c r="AP67" s="157"/>
      <c r="AQ67" s="2"/>
      <c r="AR67" s="2"/>
    </row>
    <row r="68" spans="2:44" ht="15" thickBot="1" x14ac:dyDescent="0.35">
      <c r="B68" s="2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5"/>
      <c r="AB68" s="27">
        <v>65</v>
      </c>
      <c r="AC68" s="25" t="str">
        <f t="shared" ref="AC68:AC102" si="4" xml:space="preserve"> "0x" &amp; RIGHT( "0000000" &amp; DEC2HEX(AB68), 8)</f>
        <v>0x00000041</v>
      </c>
      <c r="AD68" s="222"/>
      <c r="AH68" s="1"/>
      <c r="AI68" s="25" t="str">
        <f t="shared" si="3"/>
        <v>0x0000003F</v>
      </c>
      <c r="AJ68" s="225"/>
      <c r="AL68" s="155"/>
      <c r="AM68" s="156"/>
      <c r="AN68" s="156"/>
      <c r="AO68" s="156"/>
      <c r="AP68" s="157"/>
      <c r="AQ68" s="2"/>
      <c r="AR68" s="2"/>
    </row>
    <row r="69" spans="2:44" x14ac:dyDescent="0.3">
      <c r="AB69" s="27">
        <v>66</v>
      </c>
      <c r="AC69" s="25" t="str">
        <f t="shared" si="4"/>
        <v>0x00000042</v>
      </c>
      <c r="AD69" s="222"/>
      <c r="AH69" s="1"/>
      <c r="AI69" s="25" t="str">
        <f t="shared" si="3"/>
        <v>0x00000040</v>
      </c>
      <c r="AJ69" s="225"/>
      <c r="AL69" s="155"/>
      <c r="AM69" s="156"/>
      <c r="AN69" s="156"/>
      <c r="AO69" s="156"/>
      <c r="AP69" s="157"/>
      <c r="AQ69" s="2"/>
      <c r="AR69" s="2"/>
    </row>
    <row r="70" spans="2:44" x14ac:dyDescent="0.3">
      <c r="AB70" s="27">
        <v>67</v>
      </c>
      <c r="AC70" s="25" t="str">
        <f t="shared" si="4"/>
        <v>0x00000043</v>
      </c>
      <c r="AD70" s="222"/>
      <c r="AH70" s="1"/>
      <c r="AI70" s="25" t="str">
        <f t="shared" ref="AI70:AI101" si="5" xml:space="preserve"> "0x" &amp; RIGHT( "0000000" &amp; DEC2HEX(AB68), 8)</f>
        <v>0x00000041</v>
      </c>
      <c r="AJ70" s="225"/>
      <c r="AL70" s="155"/>
      <c r="AM70" s="156"/>
      <c r="AN70" s="156"/>
      <c r="AO70" s="156"/>
      <c r="AP70" s="157"/>
      <c r="AQ70" s="2"/>
      <c r="AR70" s="2"/>
    </row>
    <row r="71" spans="2:44" x14ac:dyDescent="0.3">
      <c r="AB71" s="27">
        <v>68</v>
      </c>
      <c r="AC71" s="25" t="str">
        <f t="shared" si="4"/>
        <v>0x00000044</v>
      </c>
      <c r="AD71" s="222"/>
      <c r="AH71" s="1"/>
      <c r="AI71" s="25" t="str">
        <f t="shared" si="5"/>
        <v>0x00000042</v>
      </c>
      <c r="AJ71" s="225"/>
      <c r="AL71" s="155"/>
      <c r="AM71" s="156"/>
      <c r="AN71" s="156"/>
      <c r="AO71" s="156"/>
      <c r="AP71" s="157"/>
      <c r="AQ71" s="2"/>
      <c r="AR71" s="2"/>
    </row>
    <row r="72" spans="2:44" x14ac:dyDescent="0.3">
      <c r="AB72" s="27">
        <v>69</v>
      </c>
      <c r="AC72" s="25" t="str">
        <f t="shared" si="4"/>
        <v>0x00000045</v>
      </c>
      <c r="AD72" s="222"/>
      <c r="AH72" s="1"/>
      <c r="AI72" s="25" t="str">
        <f t="shared" si="5"/>
        <v>0x00000043</v>
      </c>
      <c r="AJ72" s="225"/>
      <c r="AL72" s="155"/>
      <c r="AM72" s="156"/>
      <c r="AN72" s="156"/>
      <c r="AO72" s="156"/>
      <c r="AP72" s="157"/>
      <c r="AQ72" s="2"/>
      <c r="AR72" s="2"/>
    </row>
    <row r="73" spans="2:44" x14ac:dyDescent="0.3">
      <c r="AB73" s="27">
        <v>70</v>
      </c>
      <c r="AC73" s="25" t="str">
        <f t="shared" si="4"/>
        <v>0x00000046</v>
      </c>
      <c r="AD73" s="222"/>
      <c r="AH73" s="1"/>
      <c r="AI73" s="25" t="str">
        <f t="shared" si="5"/>
        <v>0x00000044</v>
      </c>
      <c r="AJ73" s="225"/>
      <c r="AL73" s="155"/>
      <c r="AM73" s="156"/>
      <c r="AN73" s="156"/>
      <c r="AO73" s="156"/>
      <c r="AP73" s="157"/>
      <c r="AQ73" s="2"/>
      <c r="AR73" s="2"/>
    </row>
    <row r="74" spans="2:44" ht="31.2" x14ac:dyDescent="0.3"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AB74" s="27">
        <v>71</v>
      </c>
      <c r="AC74" s="25" t="str">
        <f t="shared" si="4"/>
        <v>0x00000047</v>
      </c>
      <c r="AD74" s="222"/>
      <c r="AH74" s="1"/>
      <c r="AI74" s="25" t="str">
        <f t="shared" si="5"/>
        <v>0x00000045</v>
      </c>
      <c r="AJ74" s="225"/>
      <c r="AL74" s="155"/>
      <c r="AM74" s="156"/>
      <c r="AN74" s="156"/>
      <c r="AO74" s="156"/>
      <c r="AP74" s="157"/>
      <c r="AQ74" s="2"/>
      <c r="AR74" s="2"/>
    </row>
    <row r="75" spans="2:44" ht="18" x14ac:dyDescent="0.35"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AB75" s="27">
        <v>72</v>
      </c>
      <c r="AC75" s="25" t="s">
        <v>32</v>
      </c>
      <c r="AD75" s="222"/>
      <c r="AH75" s="1"/>
      <c r="AI75" s="25" t="str">
        <f t="shared" si="5"/>
        <v>0x00000046</v>
      </c>
      <c r="AJ75" s="225"/>
      <c r="AL75" s="155"/>
      <c r="AM75" s="156"/>
      <c r="AN75" s="156"/>
      <c r="AO75" s="156"/>
      <c r="AP75" s="157"/>
      <c r="AQ75" s="2"/>
      <c r="AR75" s="2"/>
    </row>
    <row r="76" spans="2:44" ht="18" x14ac:dyDescent="0.35"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AB76" s="27">
        <v>73</v>
      </c>
      <c r="AC76" s="25" t="s">
        <v>33</v>
      </c>
      <c r="AD76" s="222"/>
      <c r="AH76" s="1"/>
      <c r="AI76" s="25" t="str">
        <f t="shared" si="5"/>
        <v>0x00000047</v>
      </c>
      <c r="AJ76" s="225"/>
      <c r="AL76" s="155"/>
      <c r="AM76" s="156"/>
      <c r="AN76" s="156"/>
      <c r="AO76" s="156"/>
      <c r="AP76" s="157"/>
      <c r="AQ76" s="2"/>
      <c r="AR76" s="2"/>
    </row>
    <row r="77" spans="2:44" ht="18" x14ac:dyDescent="0.35"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AB77" s="27">
        <v>74</v>
      </c>
      <c r="AC77" s="25" t="s">
        <v>34</v>
      </c>
      <c r="AD77" s="222"/>
      <c r="AH77" s="1"/>
      <c r="AI77" s="25" t="str">
        <f t="shared" si="5"/>
        <v>0x00000048</v>
      </c>
      <c r="AJ77" s="225"/>
      <c r="AL77" s="155"/>
      <c r="AM77" s="156"/>
      <c r="AN77" s="156"/>
      <c r="AO77" s="156"/>
      <c r="AP77" s="157"/>
      <c r="AQ77" s="2"/>
      <c r="AR77" s="2"/>
    </row>
    <row r="78" spans="2:44" ht="18" x14ac:dyDescent="0.35"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AB78" s="27">
        <v>75</v>
      </c>
      <c r="AC78" s="25" t="s">
        <v>35</v>
      </c>
      <c r="AD78" s="222"/>
      <c r="AH78" s="1"/>
      <c r="AI78" s="25" t="str">
        <f t="shared" si="5"/>
        <v>0x00000049</v>
      </c>
      <c r="AJ78" s="225"/>
      <c r="AL78" s="155"/>
      <c r="AM78" s="156"/>
      <c r="AN78" s="156"/>
      <c r="AO78" s="156"/>
      <c r="AP78" s="157"/>
      <c r="AQ78" s="2"/>
      <c r="AR78" s="2"/>
    </row>
    <row r="79" spans="2:44" ht="18" x14ac:dyDescent="0.35"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AB79" s="27">
        <v>76</v>
      </c>
      <c r="AC79" s="25" t="s">
        <v>36</v>
      </c>
      <c r="AD79" s="222"/>
      <c r="AH79" s="1"/>
      <c r="AI79" s="25" t="str">
        <f t="shared" si="5"/>
        <v>0x0000004A</v>
      </c>
      <c r="AJ79" s="225"/>
      <c r="AL79" s="155"/>
      <c r="AM79" s="156"/>
      <c r="AN79" s="156"/>
      <c r="AO79" s="156"/>
      <c r="AP79" s="157"/>
      <c r="AQ79" s="2"/>
      <c r="AR79" s="2"/>
    </row>
    <row r="80" spans="2:44" ht="18.600000000000001" thickBot="1" x14ac:dyDescent="0.4"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AB80" s="27">
        <v>77</v>
      </c>
      <c r="AC80" s="25" t="s">
        <v>37</v>
      </c>
      <c r="AD80" s="222"/>
      <c r="AH80" s="1"/>
      <c r="AI80" s="25" t="str">
        <f t="shared" si="5"/>
        <v>0x0000004B</v>
      </c>
      <c r="AJ80" s="225"/>
      <c r="AL80" s="155"/>
      <c r="AM80" s="156"/>
      <c r="AN80" s="156"/>
      <c r="AO80" s="156"/>
      <c r="AP80" s="157"/>
      <c r="AQ80" s="2"/>
      <c r="AR80" s="2"/>
    </row>
    <row r="81" spans="5:44" ht="18" customHeight="1" x14ac:dyDescent="0.3">
      <c r="E81" s="122" t="s">
        <v>47</v>
      </c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4"/>
      <c r="AB81" s="27">
        <v>78</v>
      </c>
      <c r="AC81" s="25" t="str">
        <f t="shared" si="4"/>
        <v>0x0000004E</v>
      </c>
      <c r="AD81" s="222"/>
      <c r="AH81" s="1"/>
      <c r="AI81" s="25" t="str">
        <f t="shared" si="5"/>
        <v>0x0000004C</v>
      </c>
      <c r="AJ81" s="225"/>
      <c r="AL81" s="155"/>
      <c r="AM81" s="156"/>
      <c r="AN81" s="156"/>
      <c r="AO81" s="156"/>
      <c r="AP81" s="157"/>
      <c r="AQ81" s="2"/>
      <c r="AR81" s="2"/>
    </row>
    <row r="82" spans="5:44" ht="18" customHeight="1" thickBot="1" x14ac:dyDescent="0.35">
      <c r="E82" s="125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  <c r="T82" s="126"/>
      <c r="U82" s="127"/>
      <c r="AB82" s="27">
        <v>79</v>
      </c>
      <c r="AC82" s="25" t="str">
        <f t="shared" si="4"/>
        <v>0x0000004F</v>
      </c>
      <c r="AD82" s="222"/>
      <c r="AH82" s="1"/>
      <c r="AI82" s="25" t="str">
        <f t="shared" si="5"/>
        <v>0x0000004D</v>
      </c>
      <c r="AJ82" s="225"/>
      <c r="AL82" s="155"/>
      <c r="AM82" s="156"/>
      <c r="AN82" s="156"/>
      <c r="AO82" s="156"/>
      <c r="AP82" s="157"/>
      <c r="AQ82" s="2"/>
      <c r="AR82" s="2"/>
    </row>
    <row r="83" spans="5:44" ht="18" x14ac:dyDescent="0.35">
      <c r="E83" s="42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U83" s="2"/>
      <c r="AB83" s="27">
        <v>80</v>
      </c>
      <c r="AC83" s="25" t="str">
        <f t="shared" si="4"/>
        <v>0x00000050</v>
      </c>
      <c r="AD83" s="222"/>
      <c r="AH83" s="1"/>
      <c r="AI83" s="25" t="str">
        <f t="shared" si="5"/>
        <v>0x0000004E</v>
      </c>
      <c r="AJ83" s="225"/>
      <c r="AL83" s="155"/>
      <c r="AM83" s="156"/>
      <c r="AN83" s="156"/>
      <c r="AO83" s="156"/>
      <c r="AP83" s="157"/>
      <c r="AQ83" s="2"/>
      <c r="AR83" s="2"/>
    </row>
    <row r="84" spans="5:44" ht="18.600000000000001" thickBot="1" x14ac:dyDescent="0.4">
      <c r="E84" s="1"/>
      <c r="F84" s="40"/>
      <c r="G84" s="40"/>
      <c r="H84" s="40"/>
      <c r="I84" s="40"/>
      <c r="J84" s="40"/>
      <c r="K84" s="40"/>
      <c r="L84" s="40"/>
      <c r="M84" s="40"/>
      <c r="N84" s="40"/>
      <c r="O84" s="40"/>
      <c r="U84" s="2"/>
      <c r="AB84" s="27">
        <v>81</v>
      </c>
      <c r="AC84" s="25" t="str">
        <f t="shared" si="4"/>
        <v>0x00000051</v>
      </c>
      <c r="AD84" s="222"/>
      <c r="AH84" s="1"/>
      <c r="AI84" s="25" t="str">
        <f t="shared" si="5"/>
        <v>0x0000004F</v>
      </c>
      <c r="AJ84" s="225"/>
      <c r="AL84" s="155"/>
      <c r="AM84" s="156"/>
      <c r="AN84" s="156"/>
      <c r="AO84" s="156"/>
      <c r="AP84" s="157"/>
      <c r="AQ84" s="2"/>
      <c r="AR84" s="2"/>
    </row>
    <row r="85" spans="5:44" ht="18.600000000000001" thickBot="1" x14ac:dyDescent="0.4">
      <c r="E85" s="42"/>
      <c r="F85" s="40"/>
      <c r="G85" s="40"/>
      <c r="H85" s="40"/>
      <c r="I85" s="40"/>
      <c r="J85" s="40"/>
      <c r="K85" s="40"/>
      <c r="L85" s="40"/>
      <c r="M85" s="40"/>
      <c r="N85" s="40"/>
      <c r="O85" s="40"/>
      <c r="Q85" s="137" t="s">
        <v>44</v>
      </c>
      <c r="R85" s="138"/>
      <c r="S85" s="138"/>
      <c r="T85" s="139"/>
      <c r="U85" s="2"/>
      <c r="AB85" s="27">
        <v>82</v>
      </c>
      <c r="AC85" s="25" t="str">
        <f t="shared" si="4"/>
        <v>0x00000052</v>
      </c>
      <c r="AD85" s="222"/>
      <c r="AH85" s="1"/>
      <c r="AI85" s="25" t="str">
        <f t="shared" si="5"/>
        <v>0x00000050</v>
      </c>
      <c r="AJ85" s="225"/>
      <c r="AL85" s="155"/>
      <c r="AM85" s="156"/>
      <c r="AN85" s="156"/>
      <c r="AO85" s="156"/>
      <c r="AP85" s="157"/>
      <c r="AQ85" s="2"/>
      <c r="AR85" s="2"/>
    </row>
    <row r="86" spans="5:44" ht="18.600000000000001" thickBot="1" x14ac:dyDescent="0.4">
      <c r="E86" s="42"/>
      <c r="F86" s="128" t="s">
        <v>41</v>
      </c>
      <c r="G86" s="129"/>
      <c r="H86" s="129"/>
      <c r="I86" s="129"/>
      <c r="J86" s="129"/>
      <c r="K86" s="129"/>
      <c r="L86" s="130"/>
      <c r="M86" s="40"/>
      <c r="N86" s="40"/>
      <c r="O86" s="40"/>
      <c r="Q86" s="74"/>
      <c r="R86" s="75"/>
      <c r="S86" s="75"/>
      <c r="T86" s="76"/>
      <c r="U86" s="2"/>
      <c r="AB86" s="27">
        <v>83</v>
      </c>
      <c r="AC86" s="25" t="str">
        <f t="shared" si="4"/>
        <v>0x00000053</v>
      </c>
      <c r="AD86" s="222"/>
      <c r="AH86" s="1"/>
      <c r="AI86" s="25" t="str">
        <f t="shared" si="5"/>
        <v>0x00000051</v>
      </c>
      <c r="AJ86" s="225"/>
      <c r="AL86" s="155"/>
      <c r="AM86" s="156"/>
      <c r="AN86" s="156"/>
      <c r="AO86" s="156"/>
      <c r="AP86" s="157"/>
      <c r="AQ86" s="2"/>
      <c r="AR86" s="2"/>
    </row>
    <row r="87" spans="5:44" ht="18" x14ac:dyDescent="0.35">
      <c r="E87" s="42"/>
      <c r="F87" s="53"/>
      <c r="G87" s="54"/>
      <c r="H87" s="54"/>
      <c r="I87" s="54"/>
      <c r="J87" s="54"/>
      <c r="K87" s="54"/>
      <c r="L87" s="55"/>
      <c r="M87" s="40"/>
      <c r="N87" s="40"/>
      <c r="O87" s="40"/>
      <c r="Q87" s="74"/>
      <c r="R87" s="75"/>
      <c r="S87" s="75"/>
      <c r="T87" s="76"/>
      <c r="U87" s="2"/>
      <c r="AB87" s="27">
        <v>84</v>
      </c>
      <c r="AC87" s="25" t="str">
        <f t="shared" si="4"/>
        <v>0x00000054</v>
      </c>
      <c r="AD87" s="222"/>
      <c r="AH87" s="1"/>
      <c r="AI87" s="25" t="str">
        <f t="shared" si="5"/>
        <v>0x00000052</v>
      </c>
      <c r="AJ87" s="225"/>
      <c r="AL87" s="155"/>
      <c r="AM87" s="156"/>
      <c r="AN87" s="156"/>
      <c r="AO87" s="156"/>
      <c r="AP87" s="157"/>
      <c r="AQ87" s="2"/>
      <c r="AR87" s="2"/>
    </row>
    <row r="88" spans="5:44" ht="18" x14ac:dyDescent="0.35">
      <c r="E88" s="42"/>
      <c r="F88" s="53"/>
      <c r="G88" s="54"/>
      <c r="H88" s="54"/>
      <c r="I88" s="54"/>
      <c r="J88" s="54"/>
      <c r="K88" s="54"/>
      <c r="L88" s="55"/>
      <c r="M88" s="40"/>
      <c r="N88" s="40"/>
      <c r="O88" s="40"/>
      <c r="Q88" s="74"/>
      <c r="R88" s="75"/>
      <c r="S88" s="75"/>
      <c r="T88" s="76"/>
      <c r="U88" s="2"/>
      <c r="AB88" s="27">
        <v>85</v>
      </c>
      <c r="AC88" s="25" t="str">
        <f t="shared" si="4"/>
        <v>0x00000055</v>
      </c>
      <c r="AD88" s="222"/>
      <c r="AH88" s="1"/>
      <c r="AI88" s="25" t="str">
        <f t="shared" si="5"/>
        <v>0x00000053</v>
      </c>
      <c r="AJ88" s="225"/>
      <c r="AL88" s="155"/>
      <c r="AM88" s="156"/>
      <c r="AN88" s="156"/>
      <c r="AO88" s="156"/>
      <c r="AP88" s="157"/>
      <c r="AQ88" s="2"/>
      <c r="AR88" s="2"/>
    </row>
    <row r="89" spans="5:44" ht="18" x14ac:dyDescent="0.35">
      <c r="E89" s="42"/>
      <c r="F89" s="53"/>
      <c r="G89" s="54"/>
      <c r="H89" s="54"/>
      <c r="I89" s="54"/>
      <c r="J89" s="54"/>
      <c r="K89" s="54"/>
      <c r="L89" s="55"/>
      <c r="M89" s="40"/>
      <c r="N89" s="40"/>
      <c r="O89" s="40"/>
      <c r="Q89" s="74"/>
      <c r="R89" s="75"/>
      <c r="S89" s="75"/>
      <c r="T89" s="76"/>
      <c r="U89" s="2"/>
      <c r="AB89" s="27">
        <v>86</v>
      </c>
      <c r="AC89" s="25" t="str">
        <f t="shared" si="4"/>
        <v>0x00000056</v>
      </c>
      <c r="AD89" s="222"/>
      <c r="AH89" s="1"/>
      <c r="AI89" s="25" t="str">
        <f t="shared" si="5"/>
        <v>0x00000054</v>
      </c>
      <c r="AJ89" s="225"/>
      <c r="AL89" s="155"/>
      <c r="AM89" s="156"/>
      <c r="AN89" s="156"/>
      <c r="AO89" s="156"/>
      <c r="AP89" s="157"/>
      <c r="AQ89" s="2"/>
      <c r="AR89" s="2"/>
    </row>
    <row r="90" spans="5:44" ht="18.600000000000001" thickBot="1" x14ac:dyDescent="0.4">
      <c r="E90" s="42"/>
      <c r="F90" s="56"/>
      <c r="G90" s="57"/>
      <c r="H90" s="57"/>
      <c r="I90" s="57"/>
      <c r="J90" s="57"/>
      <c r="K90" s="57"/>
      <c r="L90" s="58"/>
      <c r="M90" s="40"/>
      <c r="N90" s="40"/>
      <c r="O90" s="40"/>
      <c r="Q90" s="74"/>
      <c r="R90" s="75"/>
      <c r="S90" s="75"/>
      <c r="T90" s="76"/>
      <c r="U90" s="2"/>
      <c r="AB90" s="27">
        <v>87</v>
      </c>
      <c r="AC90" s="25" t="str">
        <f t="shared" si="4"/>
        <v>0x00000057</v>
      </c>
      <c r="AD90" s="222"/>
      <c r="AH90" s="1"/>
      <c r="AI90" s="25" t="str">
        <f t="shared" si="5"/>
        <v>0x00000055</v>
      </c>
      <c r="AJ90" s="225"/>
      <c r="AL90" s="155"/>
      <c r="AM90" s="156"/>
      <c r="AN90" s="156"/>
      <c r="AO90" s="156"/>
      <c r="AP90" s="157"/>
      <c r="AQ90" s="2"/>
      <c r="AR90" s="2"/>
    </row>
    <row r="91" spans="5:44" ht="18" x14ac:dyDescent="0.35">
      <c r="E91" s="42"/>
      <c r="F91" s="40"/>
      <c r="G91" s="40"/>
      <c r="H91" s="40"/>
      <c r="I91" s="40"/>
      <c r="J91" s="40"/>
      <c r="K91" s="40"/>
      <c r="L91" s="40"/>
      <c r="M91" s="40"/>
      <c r="N91" s="40"/>
      <c r="O91" s="40"/>
      <c r="Q91" s="74"/>
      <c r="R91" s="75"/>
      <c r="S91" s="75"/>
      <c r="T91" s="76"/>
      <c r="U91" s="2"/>
      <c r="AB91" s="27">
        <v>88</v>
      </c>
      <c r="AC91" s="25" t="str">
        <f t="shared" si="4"/>
        <v>0x00000058</v>
      </c>
      <c r="AD91" s="222"/>
      <c r="AH91" s="1"/>
      <c r="AI91" s="25" t="str">
        <f t="shared" si="5"/>
        <v>0x00000056</v>
      </c>
      <c r="AJ91" s="225"/>
      <c r="AL91" s="155"/>
      <c r="AM91" s="156"/>
      <c r="AN91" s="156"/>
      <c r="AO91" s="156"/>
      <c r="AP91" s="157"/>
      <c r="AQ91" s="2"/>
      <c r="AR91" s="2"/>
    </row>
    <row r="92" spans="5:44" ht="18" x14ac:dyDescent="0.35">
      <c r="E92" s="42"/>
      <c r="F92" s="40"/>
      <c r="G92" s="40"/>
      <c r="H92" s="40"/>
      <c r="I92" s="40"/>
      <c r="J92" s="40"/>
      <c r="K92" s="40"/>
      <c r="L92" s="40"/>
      <c r="M92" s="40"/>
      <c r="N92" s="40"/>
      <c r="O92" s="40"/>
      <c r="Q92" s="74"/>
      <c r="R92" s="75"/>
      <c r="S92" s="75"/>
      <c r="T92" s="76"/>
      <c r="U92" s="2"/>
      <c r="AB92" s="27">
        <v>89</v>
      </c>
      <c r="AC92" s="25" t="str">
        <f t="shared" si="4"/>
        <v>0x00000059</v>
      </c>
      <c r="AD92" s="222"/>
      <c r="AH92" s="1"/>
      <c r="AI92" s="25" t="str">
        <f t="shared" si="5"/>
        <v>0x00000057</v>
      </c>
      <c r="AJ92" s="225"/>
      <c r="AL92" s="155"/>
      <c r="AM92" s="156"/>
      <c r="AN92" s="156"/>
      <c r="AO92" s="156"/>
      <c r="AP92" s="157"/>
      <c r="AQ92" s="2"/>
      <c r="AR92" s="2"/>
    </row>
    <row r="93" spans="5:44" ht="18" x14ac:dyDescent="0.35">
      <c r="E93" s="42"/>
      <c r="F93" s="40"/>
      <c r="G93" s="40"/>
      <c r="H93" s="40"/>
      <c r="I93" s="40"/>
      <c r="J93" s="40"/>
      <c r="K93" s="40"/>
      <c r="L93" s="40"/>
      <c r="M93" s="40"/>
      <c r="N93" s="40"/>
      <c r="O93" s="40"/>
      <c r="Q93" s="74"/>
      <c r="R93" s="75"/>
      <c r="S93" s="75"/>
      <c r="T93" s="76"/>
      <c r="U93" s="2"/>
      <c r="AB93" s="27">
        <v>90</v>
      </c>
      <c r="AC93" s="25" t="str">
        <f t="shared" si="4"/>
        <v>0x0000005A</v>
      </c>
      <c r="AD93" s="222"/>
      <c r="AH93" s="1"/>
      <c r="AI93" s="25" t="str">
        <f t="shared" si="5"/>
        <v>0x00000058</v>
      </c>
      <c r="AJ93" s="225"/>
      <c r="AL93" s="155"/>
      <c r="AM93" s="156"/>
      <c r="AN93" s="156"/>
      <c r="AO93" s="156"/>
      <c r="AP93" s="157"/>
      <c r="AQ93" s="2"/>
      <c r="AR93" s="2"/>
    </row>
    <row r="94" spans="5:44" ht="18" x14ac:dyDescent="0.35">
      <c r="E94" s="42"/>
      <c r="F94" s="40"/>
      <c r="G94" s="40"/>
      <c r="H94" s="40"/>
      <c r="I94" s="40"/>
      <c r="J94" s="40"/>
      <c r="K94" s="40"/>
      <c r="L94" s="40"/>
      <c r="M94" s="40"/>
      <c r="N94" s="40"/>
      <c r="O94" s="40"/>
      <c r="Q94" s="74"/>
      <c r="R94" s="75"/>
      <c r="S94" s="75"/>
      <c r="T94" s="76"/>
      <c r="U94" s="2"/>
      <c r="AB94" s="27">
        <v>91</v>
      </c>
      <c r="AC94" s="25" t="str">
        <f t="shared" si="4"/>
        <v>0x0000005B</v>
      </c>
      <c r="AD94" s="222"/>
      <c r="AH94" s="1"/>
      <c r="AI94" s="25" t="str">
        <f t="shared" si="5"/>
        <v>0x00000059</v>
      </c>
      <c r="AJ94" s="225"/>
      <c r="AL94" s="155"/>
      <c r="AM94" s="156"/>
      <c r="AN94" s="156"/>
      <c r="AO94" s="156"/>
      <c r="AP94" s="157"/>
      <c r="AQ94" s="2"/>
      <c r="AR94" s="2"/>
    </row>
    <row r="95" spans="5:44" ht="18.600000000000001" thickBot="1" x14ac:dyDescent="0.4">
      <c r="E95" s="42"/>
      <c r="F95" s="40"/>
      <c r="G95" s="40"/>
      <c r="H95" s="40"/>
      <c r="I95" s="40"/>
      <c r="J95" s="40"/>
      <c r="K95" s="40"/>
      <c r="L95" s="40"/>
      <c r="M95" s="40"/>
      <c r="N95" s="40"/>
      <c r="O95" s="40"/>
      <c r="Q95" s="74"/>
      <c r="R95" s="75"/>
      <c r="S95" s="75"/>
      <c r="T95" s="76"/>
      <c r="U95" s="2"/>
      <c r="AB95" s="27">
        <v>92</v>
      </c>
      <c r="AC95" s="25" t="str">
        <f t="shared" si="4"/>
        <v>0x0000005C</v>
      </c>
      <c r="AD95" s="222"/>
      <c r="AH95" s="1"/>
      <c r="AI95" s="25" t="str">
        <f t="shared" si="5"/>
        <v>0x0000005A</v>
      </c>
      <c r="AJ95" s="225"/>
      <c r="AL95" s="155"/>
      <c r="AM95" s="156"/>
      <c r="AN95" s="156"/>
      <c r="AO95" s="156"/>
      <c r="AP95" s="157"/>
      <c r="AQ95" s="2"/>
      <c r="AR95" s="2"/>
    </row>
    <row r="96" spans="5:44" ht="18.600000000000001" thickBot="1" x14ac:dyDescent="0.4">
      <c r="E96" s="42"/>
      <c r="F96" s="40"/>
      <c r="G96" s="131" t="s">
        <v>48</v>
      </c>
      <c r="H96" s="132"/>
      <c r="I96" s="132"/>
      <c r="J96" s="132"/>
      <c r="K96" s="133"/>
      <c r="L96" s="40"/>
      <c r="M96" s="134" t="s">
        <v>49</v>
      </c>
      <c r="N96" s="135"/>
      <c r="O96" s="136"/>
      <c r="Q96" s="74"/>
      <c r="R96" s="75"/>
      <c r="S96" s="75"/>
      <c r="T96" s="76"/>
      <c r="U96" s="2"/>
      <c r="AB96" s="27">
        <v>93</v>
      </c>
      <c r="AC96" s="25" t="str">
        <f t="shared" si="4"/>
        <v>0x0000005D</v>
      </c>
      <c r="AD96" s="222"/>
      <c r="AH96" s="1"/>
      <c r="AI96" s="25" t="str">
        <f t="shared" si="5"/>
        <v>0x0000005B</v>
      </c>
      <c r="AJ96" s="225"/>
      <c r="AL96" s="155"/>
      <c r="AM96" s="156"/>
      <c r="AN96" s="156"/>
      <c r="AO96" s="156"/>
      <c r="AP96" s="157"/>
      <c r="AQ96" s="2"/>
      <c r="AR96" s="2"/>
    </row>
    <row r="97" spans="5:50" ht="18" x14ac:dyDescent="0.35">
      <c r="E97" s="42"/>
      <c r="F97" s="40"/>
      <c r="G97" s="53"/>
      <c r="H97" s="54"/>
      <c r="I97" s="54"/>
      <c r="J97" s="54"/>
      <c r="K97" s="55"/>
      <c r="L97" s="40"/>
      <c r="M97" s="65"/>
      <c r="N97" s="66"/>
      <c r="O97" s="67"/>
      <c r="Q97" s="74"/>
      <c r="R97" s="75"/>
      <c r="S97" s="75"/>
      <c r="T97" s="76"/>
      <c r="U97" s="2"/>
      <c r="AB97" s="27">
        <v>94</v>
      </c>
      <c r="AC97" s="25" t="str">
        <f t="shared" si="4"/>
        <v>0x0000005E</v>
      </c>
      <c r="AD97" s="222"/>
      <c r="AH97" s="1"/>
      <c r="AI97" s="25" t="str">
        <f t="shared" si="5"/>
        <v>0x0000005C</v>
      </c>
      <c r="AJ97" s="225"/>
      <c r="AL97" s="155"/>
      <c r="AM97" s="156"/>
      <c r="AN97" s="156"/>
      <c r="AO97" s="156"/>
      <c r="AP97" s="157"/>
      <c r="AQ97" s="2"/>
      <c r="AR97" s="2"/>
    </row>
    <row r="98" spans="5:50" ht="18" x14ac:dyDescent="0.35">
      <c r="E98" s="42"/>
      <c r="F98" s="40"/>
      <c r="G98" s="53"/>
      <c r="H98" s="54"/>
      <c r="I98" s="54"/>
      <c r="J98" s="54"/>
      <c r="K98" s="55"/>
      <c r="L98" s="40"/>
      <c r="M98" s="65"/>
      <c r="N98" s="66"/>
      <c r="O98" s="67"/>
      <c r="Q98" s="74"/>
      <c r="R98" s="75"/>
      <c r="S98" s="75"/>
      <c r="T98" s="76"/>
      <c r="U98" s="2"/>
      <c r="AB98" s="27">
        <v>95</v>
      </c>
      <c r="AC98" s="25" t="str">
        <f t="shared" si="4"/>
        <v>0x0000005F</v>
      </c>
      <c r="AD98" s="222"/>
      <c r="AH98" s="1"/>
      <c r="AI98" s="25" t="str">
        <f t="shared" si="5"/>
        <v>0x0000005D</v>
      </c>
      <c r="AJ98" s="225"/>
      <c r="AL98" s="155"/>
      <c r="AM98" s="156"/>
      <c r="AN98" s="156"/>
      <c r="AO98" s="156"/>
      <c r="AP98" s="157"/>
      <c r="AQ98" s="2"/>
      <c r="AR98" s="2"/>
    </row>
    <row r="99" spans="5:50" ht="18" x14ac:dyDescent="0.35">
      <c r="E99" s="42"/>
      <c r="F99" s="40"/>
      <c r="G99" s="53"/>
      <c r="H99" s="54"/>
      <c r="I99" s="54"/>
      <c r="J99" s="54"/>
      <c r="K99" s="55"/>
      <c r="L99" s="40"/>
      <c r="M99" s="65"/>
      <c r="N99" s="66"/>
      <c r="O99" s="67"/>
      <c r="Q99" s="74"/>
      <c r="R99" s="75"/>
      <c r="S99" s="75"/>
      <c r="T99" s="76"/>
      <c r="U99" s="2"/>
      <c r="AB99" s="27">
        <v>96</v>
      </c>
      <c r="AC99" s="25" t="str">
        <f t="shared" si="4"/>
        <v>0x00000060</v>
      </c>
      <c r="AD99" s="222"/>
      <c r="AH99" s="1"/>
      <c r="AI99" s="25" t="str">
        <f t="shared" si="5"/>
        <v>0x0000005E</v>
      </c>
      <c r="AJ99" s="225"/>
      <c r="AL99" s="155"/>
      <c r="AM99" s="156"/>
      <c r="AN99" s="156"/>
      <c r="AO99" s="156"/>
      <c r="AP99" s="157"/>
      <c r="AQ99" s="2"/>
      <c r="AR99" s="2"/>
    </row>
    <row r="100" spans="5:50" ht="18.600000000000001" thickBot="1" x14ac:dyDescent="0.4">
      <c r="E100" s="42"/>
      <c r="F100" s="40"/>
      <c r="G100" s="53"/>
      <c r="H100" s="54"/>
      <c r="I100" s="54"/>
      <c r="J100" s="54"/>
      <c r="K100" s="55"/>
      <c r="L100" s="40"/>
      <c r="M100" s="65"/>
      <c r="N100" s="66"/>
      <c r="O100" s="67"/>
      <c r="Q100" s="77"/>
      <c r="R100" s="78"/>
      <c r="S100" s="78"/>
      <c r="T100" s="79"/>
      <c r="U100" s="2"/>
      <c r="AB100" s="27">
        <v>97</v>
      </c>
      <c r="AC100" s="25" t="str">
        <f t="shared" si="4"/>
        <v>0x00000061</v>
      </c>
      <c r="AD100" s="222"/>
      <c r="AH100" s="1"/>
      <c r="AI100" s="25" t="str">
        <f t="shared" si="5"/>
        <v>0x0000005F</v>
      </c>
      <c r="AJ100" s="225"/>
      <c r="AL100" s="155"/>
      <c r="AM100" s="156"/>
      <c r="AN100" s="156"/>
      <c r="AO100" s="156"/>
      <c r="AP100" s="157"/>
      <c r="AQ100" s="2"/>
      <c r="AR100" s="2"/>
    </row>
    <row r="101" spans="5:50" ht="18.600000000000001" thickBot="1" x14ac:dyDescent="0.4">
      <c r="E101" s="42"/>
      <c r="F101" s="40"/>
      <c r="G101" s="53"/>
      <c r="H101" s="54"/>
      <c r="I101" s="54"/>
      <c r="J101" s="54"/>
      <c r="K101" s="55"/>
      <c r="L101" s="40"/>
      <c r="M101" s="65"/>
      <c r="N101" s="66"/>
      <c r="O101" s="67"/>
      <c r="U101" s="2"/>
      <c r="AB101" s="27">
        <v>98</v>
      </c>
      <c r="AC101" s="25" t="str">
        <f t="shared" si="4"/>
        <v>0x00000062</v>
      </c>
      <c r="AD101" s="222"/>
      <c r="AH101" s="1"/>
      <c r="AI101" s="26" t="str">
        <f t="shared" si="5"/>
        <v>0x00000060</v>
      </c>
      <c r="AJ101" s="226"/>
      <c r="AL101" s="158"/>
      <c r="AM101" s="159"/>
      <c r="AN101" s="159"/>
      <c r="AO101" s="159"/>
      <c r="AP101" s="160"/>
      <c r="AQ101" s="2"/>
      <c r="AR101" s="2"/>
    </row>
    <row r="102" spans="5:50" ht="18.600000000000001" thickBot="1" x14ac:dyDescent="0.4">
      <c r="E102" s="42"/>
      <c r="F102" s="40"/>
      <c r="G102" s="53"/>
      <c r="H102" s="54"/>
      <c r="I102" s="54"/>
      <c r="J102" s="54"/>
      <c r="K102" s="55"/>
      <c r="L102" s="40"/>
      <c r="M102" s="65"/>
      <c r="N102" s="66"/>
      <c r="O102" s="67"/>
      <c r="P102" s="40"/>
      <c r="U102" s="2"/>
      <c r="AB102" s="27">
        <v>99</v>
      </c>
      <c r="AC102" s="26" t="str">
        <f t="shared" si="4"/>
        <v>0x00000063</v>
      </c>
      <c r="AD102" s="223"/>
      <c r="AH102" s="3"/>
      <c r="AI102" s="4"/>
      <c r="AJ102" s="4"/>
      <c r="AK102" s="4"/>
      <c r="AL102" s="4"/>
      <c r="AM102" s="4"/>
      <c r="AN102" s="4"/>
      <c r="AO102" s="4"/>
      <c r="AP102" s="4"/>
      <c r="AQ102" s="5"/>
      <c r="AR102" s="2"/>
    </row>
    <row r="103" spans="5:50" ht="15" thickBot="1" x14ac:dyDescent="0.35">
      <c r="E103" s="1"/>
      <c r="G103" s="59"/>
      <c r="H103" s="60"/>
      <c r="I103" s="60"/>
      <c r="J103" s="60"/>
      <c r="K103" s="61"/>
      <c r="M103" s="68"/>
      <c r="N103" s="69"/>
      <c r="O103" s="70"/>
      <c r="U103" s="2"/>
      <c r="AB103" s="3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5"/>
    </row>
    <row r="104" spans="5:50" x14ac:dyDescent="0.3">
      <c r="E104" s="1"/>
      <c r="G104" s="59"/>
      <c r="H104" s="60"/>
      <c r="I104" s="60"/>
      <c r="J104" s="60"/>
      <c r="K104" s="61"/>
      <c r="M104" s="68"/>
      <c r="N104" s="69"/>
      <c r="O104" s="70"/>
      <c r="U104" s="2"/>
    </row>
    <row r="105" spans="5:50" x14ac:dyDescent="0.3">
      <c r="E105" s="1"/>
      <c r="G105" s="59"/>
      <c r="H105" s="60"/>
      <c r="I105" s="60"/>
      <c r="J105" s="60"/>
      <c r="K105" s="61"/>
      <c r="M105" s="68"/>
      <c r="N105" s="69"/>
      <c r="O105" s="70"/>
      <c r="U105" s="2"/>
    </row>
    <row r="106" spans="5:50" x14ac:dyDescent="0.3">
      <c r="E106" s="1"/>
      <c r="G106" s="59"/>
      <c r="H106" s="60"/>
      <c r="I106" s="60"/>
      <c r="J106" s="60"/>
      <c r="K106" s="61"/>
      <c r="M106" s="68"/>
      <c r="N106" s="69"/>
      <c r="O106" s="70"/>
      <c r="U106" s="2"/>
    </row>
    <row r="107" spans="5:50" x14ac:dyDescent="0.3">
      <c r="E107" s="1"/>
      <c r="G107" s="59"/>
      <c r="H107" s="60"/>
      <c r="I107" s="60"/>
      <c r="J107" s="60"/>
      <c r="K107" s="61"/>
      <c r="M107" s="68"/>
      <c r="N107" s="69"/>
      <c r="O107" s="70"/>
      <c r="U107" s="2"/>
    </row>
    <row r="108" spans="5:50" ht="15" thickBot="1" x14ac:dyDescent="0.35">
      <c r="E108" s="1"/>
      <c r="G108" s="59"/>
      <c r="H108" s="60"/>
      <c r="I108" s="60"/>
      <c r="J108" s="60"/>
      <c r="K108" s="61"/>
      <c r="M108" s="68"/>
      <c r="N108" s="69"/>
      <c r="O108" s="70"/>
      <c r="U108" s="2"/>
    </row>
    <row r="109" spans="5:50" ht="15" thickBot="1" x14ac:dyDescent="0.35">
      <c r="E109" s="1"/>
      <c r="G109" s="59"/>
      <c r="H109" s="60"/>
      <c r="I109" s="60"/>
      <c r="J109" s="60"/>
      <c r="K109" s="61"/>
      <c r="M109" s="71"/>
      <c r="N109" s="72"/>
      <c r="O109" s="73"/>
      <c r="U109" s="2"/>
      <c r="AC109" s="84" t="s">
        <v>24</v>
      </c>
      <c r="AD109" s="85"/>
      <c r="AE109" s="85"/>
      <c r="AF109" s="85"/>
      <c r="AG109" s="85"/>
      <c r="AH109" s="85"/>
      <c r="AI109" s="85"/>
      <c r="AJ109" s="85"/>
      <c r="AK109" s="85"/>
      <c r="AL109" s="85"/>
      <c r="AM109" s="85"/>
      <c r="AN109" s="85"/>
      <c r="AO109" s="85"/>
      <c r="AP109" s="85"/>
      <c r="AQ109" s="85"/>
      <c r="AR109" s="85"/>
      <c r="AS109" s="85"/>
      <c r="AT109" s="85"/>
      <c r="AU109" s="85"/>
      <c r="AV109" s="85"/>
      <c r="AW109" s="85"/>
      <c r="AX109" s="86"/>
    </row>
    <row r="110" spans="5:50" ht="15" thickBot="1" x14ac:dyDescent="0.35">
      <c r="E110" s="1"/>
      <c r="G110" s="59"/>
      <c r="H110" s="60"/>
      <c r="I110" s="60"/>
      <c r="J110" s="60"/>
      <c r="K110" s="61"/>
      <c r="U110" s="2"/>
      <c r="AC110" s="87"/>
      <c r="AD110" s="88"/>
      <c r="AE110" s="88"/>
      <c r="AF110" s="88"/>
      <c r="AG110" s="88"/>
      <c r="AH110" s="88"/>
      <c r="AI110" s="88"/>
      <c r="AJ110" s="88"/>
      <c r="AK110" s="88"/>
      <c r="AL110" s="88"/>
      <c r="AM110" s="88"/>
      <c r="AN110" s="88"/>
      <c r="AO110" s="88"/>
      <c r="AP110" s="88"/>
      <c r="AQ110" s="88"/>
      <c r="AR110" s="88"/>
      <c r="AS110" s="88"/>
      <c r="AT110" s="88"/>
      <c r="AU110" s="88"/>
      <c r="AV110" s="88"/>
      <c r="AW110" s="88"/>
      <c r="AX110" s="89"/>
    </row>
    <row r="111" spans="5:50" ht="18.600000000000001" thickBot="1" x14ac:dyDescent="0.4">
      <c r="E111" s="1"/>
      <c r="G111" s="59"/>
      <c r="H111" s="60"/>
      <c r="I111" s="60"/>
      <c r="J111" s="60"/>
      <c r="K111" s="61"/>
      <c r="Q111" s="137"/>
      <c r="R111" s="138"/>
      <c r="S111" s="138"/>
      <c r="T111" s="139"/>
      <c r="U111" s="2"/>
      <c r="AC111" s="1"/>
      <c r="AX111" s="2"/>
    </row>
    <row r="112" spans="5:50" ht="15" thickBot="1" x14ac:dyDescent="0.35">
      <c r="E112" s="1"/>
      <c r="G112" s="59"/>
      <c r="H112" s="43"/>
      <c r="I112" s="44"/>
      <c r="J112" s="45"/>
      <c r="K112" s="61"/>
      <c r="Q112" s="74"/>
      <c r="R112" s="75"/>
      <c r="S112" s="75"/>
      <c r="T112" s="76"/>
      <c r="U112" s="2"/>
      <c r="AC112" s="1"/>
      <c r="AX112" s="2"/>
    </row>
    <row r="113" spans="5:50" ht="15" customHeight="1" thickBot="1" x14ac:dyDescent="0.35">
      <c r="E113" s="1"/>
      <c r="G113" s="59"/>
      <c r="H113" s="46"/>
      <c r="I113" s="47"/>
      <c r="J113" s="48"/>
      <c r="K113" s="61"/>
      <c r="Q113" s="74"/>
      <c r="R113" s="75"/>
      <c r="S113" s="75"/>
      <c r="T113" s="76"/>
      <c r="U113" s="2"/>
      <c r="AC113" s="1"/>
      <c r="AD113" s="90" t="s">
        <v>50</v>
      </c>
      <c r="AE113" s="91"/>
      <c r="AF113" s="91"/>
      <c r="AG113" s="91"/>
      <c r="AH113" s="91"/>
      <c r="AI113" s="91"/>
      <c r="AJ113" s="91"/>
      <c r="AK113" s="92"/>
      <c r="AN113" s="113" t="s">
        <v>40</v>
      </c>
      <c r="AO113" s="114"/>
      <c r="AP113" s="114"/>
      <c r="AQ113" s="114"/>
      <c r="AR113" s="114"/>
      <c r="AS113" s="114"/>
      <c r="AT113" s="114"/>
      <c r="AU113" s="114"/>
      <c r="AV113" s="114"/>
      <c r="AW113" s="115"/>
      <c r="AX113" s="2"/>
    </row>
    <row r="114" spans="5:50" ht="15" customHeight="1" thickBot="1" x14ac:dyDescent="0.35">
      <c r="E114" s="1"/>
      <c r="G114" s="59"/>
      <c r="H114" s="46"/>
      <c r="I114" s="52"/>
      <c r="J114" s="48"/>
      <c r="K114" s="61"/>
      <c r="Q114" s="74"/>
      <c r="R114" s="75"/>
      <c r="S114" s="75"/>
      <c r="T114" s="76"/>
      <c r="U114" s="2"/>
      <c r="AC114" s="1"/>
      <c r="AD114" s="93"/>
      <c r="AE114" s="94"/>
      <c r="AF114" s="94"/>
      <c r="AG114" s="94"/>
      <c r="AH114" s="94"/>
      <c r="AI114" s="94"/>
      <c r="AJ114" s="94"/>
      <c r="AK114" s="95"/>
      <c r="AN114" s="116"/>
      <c r="AO114" s="117"/>
      <c r="AP114" s="117"/>
      <c r="AQ114" s="117"/>
      <c r="AR114" s="117"/>
      <c r="AS114" s="117"/>
      <c r="AT114" s="117"/>
      <c r="AU114" s="117"/>
      <c r="AV114" s="117"/>
      <c r="AW114" s="118"/>
      <c r="AX114" s="2"/>
    </row>
    <row r="115" spans="5:50" x14ac:dyDescent="0.3">
      <c r="E115" s="1"/>
      <c r="G115" s="59"/>
      <c r="H115" s="46"/>
      <c r="I115" s="47"/>
      <c r="J115" s="48"/>
      <c r="K115" s="61"/>
      <c r="Q115" s="74"/>
      <c r="R115" s="75"/>
      <c r="S115" s="75"/>
      <c r="T115" s="76"/>
      <c r="U115" s="2"/>
      <c r="AC115" s="1"/>
      <c r="AD115" s="241" t="s">
        <v>66</v>
      </c>
      <c r="AE115" s="96"/>
      <c r="AF115" s="96"/>
      <c r="AG115" s="96"/>
      <c r="AH115" s="96"/>
      <c r="AI115" s="96"/>
      <c r="AJ115" s="96"/>
      <c r="AK115" s="97"/>
      <c r="AN115" s="116"/>
      <c r="AO115" s="117"/>
      <c r="AP115" s="117"/>
      <c r="AQ115" s="117"/>
      <c r="AR115" s="117"/>
      <c r="AS115" s="117"/>
      <c r="AT115" s="117"/>
      <c r="AU115" s="117"/>
      <c r="AV115" s="117"/>
      <c r="AW115" s="118"/>
      <c r="AX115" s="2"/>
    </row>
    <row r="116" spans="5:50" x14ac:dyDescent="0.3">
      <c r="E116" s="1"/>
      <c r="G116" s="59"/>
      <c r="H116" s="46"/>
      <c r="I116" s="47"/>
      <c r="J116" s="48"/>
      <c r="K116" s="61"/>
      <c r="Q116" s="74"/>
      <c r="R116" s="75"/>
      <c r="S116" s="75"/>
      <c r="T116" s="76"/>
      <c r="U116" s="2"/>
      <c r="AC116" s="1"/>
      <c r="AD116" s="98"/>
      <c r="AE116" s="99"/>
      <c r="AF116" s="99"/>
      <c r="AG116" s="99"/>
      <c r="AH116" s="99"/>
      <c r="AI116" s="99"/>
      <c r="AJ116" s="99"/>
      <c r="AK116" s="100"/>
      <c r="AN116" s="116"/>
      <c r="AO116" s="117"/>
      <c r="AP116" s="117"/>
      <c r="AQ116" s="117"/>
      <c r="AR116" s="117"/>
      <c r="AS116" s="117"/>
      <c r="AT116" s="117"/>
      <c r="AU116" s="117"/>
      <c r="AV116" s="117"/>
      <c r="AW116" s="118"/>
      <c r="AX116" s="2"/>
    </row>
    <row r="117" spans="5:50" ht="15" thickBot="1" x14ac:dyDescent="0.35">
      <c r="E117" s="1"/>
      <c r="G117" s="59"/>
      <c r="H117" s="46"/>
      <c r="I117" s="47"/>
      <c r="J117" s="48"/>
      <c r="K117" s="61"/>
      <c r="Q117" s="74"/>
      <c r="R117" s="75"/>
      <c r="S117" s="75"/>
      <c r="T117" s="76"/>
      <c r="U117" s="2"/>
      <c r="AC117" s="1"/>
      <c r="AD117" s="98"/>
      <c r="AE117" s="99"/>
      <c r="AF117" s="99"/>
      <c r="AG117" s="99"/>
      <c r="AH117" s="99"/>
      <c r="AI117" s="99"/>
      <c r="AJ117" s="99"/>
      <c r="AK117" s="100"/>
      <c r="AN117" s="119"/>
      <c r="AO117" s="120"/>
      <c r="AP117" s="120"/>
      <c r="AQ117" s="120"/>
      <c r="AR117" s="120"/>
      <c r="AS117" s="120"/>
      <c r="AT117" s="120"/>
      <c r="AU117" s="120"/>
      <c r="AV117" s="120"/>
      <c r="AW117" s="121"/>
      <c r="AX117" s="2"/>
    </row>
    <row r="118" spans="5:50" x14ac:dyDescent="0.3">
      <c r="E118" s="1"/>
      <c r="G118" s="59"/>
      <c r="H118" s="46"/>
      <c r="I118" s="47"/>
      <c r="J118" s="48"/>
      <c r="K118" s="61"/>
      <c r="Q118" s="74"/>
      <c r="R118" s="75"/>
      <c r="S118" s="75"/>
      <c r="T118" s="76"/>
      <c r="U118" s="2"/>
      <c r="AC118" s="1"/>
      <c r="AD118" s="98"/>
      <c r="AE118" s="99"/>
      <c r="AF118" s="99"/>
      <c r="AG118" s="99"/>
      <c r="AH118" s="99"/>
      <c r="AI118" s="99"/>
      <c r="AJ118" s="99"/>
      <c r="AK118" s="100"/>
      <c r="AO118" s="104"/>
      <c r="AP118" s="105"/>
      <c r="AQ118" s="105"/>
      <c r="AR118" s="105"/>
      <c r="AS118" s="105"/>
      <c r="AT118" s="105"/>
      <c r="AU118" s="105"/>
      <c r="AV118" s="106"/>
      <c r="AX118" s="2"/>
    </row>
    <row r="119" spans="5:50" x14ac:dyDescent="0.3">
      <c r="E119" s="1"/>
      <c r="G119" s="59"/>
      <c r="H119" s="46"/>
      <c r="I119" s="47"/>
      <c r="J119" s="48"/>
      <c r="K119" s="61"/>
      <c r="Q119" s="74"/>
      <c r="R119" s="75"/>
      <c r="S119" s="75"/>
      <c r="T119" s="76"/>
      <c r="U119" s="2"/>
      <c r="AC119" s="1"/>
      <c r="AD119" s="98"/>
      <c r="AE119" s="99"/>
      <c r="AF119" s="99"/>
      <c r="AG119" s="99"/>
      <c r="AH119" s="99"/>
      <c r="AI119" s="99"/>
      <c r="AJ119" s="99"/>
      <c r="AK119" s="100"/>
      <c r="AO119" s="107"/>
      <c r="AP119" s="108"/>
      <c r="AQ119" s="108"/>
      <c r="AR119" s="108"/>
      <c r="AS119" s="108"/>
      <c r="AT119" s="108"/>
      <c r="AU119" s="108"/>
      <c r="AV119" s="109"/>
      <c r="AX119" s="2"/>
    </row>
    <row r="120" spans="5:50" x14ac:dyDescent="0.3">
      <c r="E120" s="1"/>
      <c r="G120" s="59"/>
      <c r="H120" s="46"/>
      <c r="I120" s="47"/>
      <c r="J120" s="48"/>
      <c r="K120" s="61"/>
      <c r="Q120" s="74"/>
      <c r="R120" s="75"/>
      <c r="S120" s="75"/>
      <c r="T120" s="76"/>
      <c r="U120" s="2"/>
      <c r="AC120" s="1"/>
      <c r="AD120" s="98"/>
      <c r="AE120" s="99"/>
      <c r="AF120" s="99"/>
      <c r="AG120" s="99"/>
      <c r="AH120" s="99"/>
      <c r="AI120" s="99"/>
      <c r="AJ120" s="99"/>
      <c r="AK120" s="100"/>
      <c r="AO120" s="107"/>
      <c r="AP120" s="108"/>
      <c r="AQ120" s="108"/>
      <c r="AR120" s="108"/>
      <c r="AS120" s="108"/>
      <c r="AT120" s="108"/>
      <c r="AU120" s="108"/>
      <c r="AV120" s="109"/>
      <c r="AX120" s="2"/>
    </row>
    <row r="121" spans="5:50" ht="15" thickBot="1" x14ac:dyDescent="0.35">
      <c r="E121" s="1"/>
      <c r="G121" s="59"/>
      <c r="H121" s="49"/>
      <c r="I121" s="50"/>
      <c r="J121" s="51"/>
      <c r="K121" s="61"/>
      <c r="Q121" s="74"/>
      <c r="R121" s="75"/>
      <c r="S121" s="75"/>
      <c r="T121" s="76"/>
      <c r="U121" s="2"/>
      <c r="AC121" s="1"/>
      <c r="AD121" s="98"/>
      <c r="AE121" s="99"/>
      <c r="AF121" s="99"/>
      <c r="AG121" s="99"/>
      <c r="AH121" s="99"/>
      <c r="AI121" s="99"/>
      <c r="AJ121" s="99"/>
      <c r="AK121" s="100"/>
      <c r="AO121" s="107"/>
      <c r="AP121" s="108"/>
      <c r="AQ121" s="108"/>
      <c r="AR121" s="108"/>
      <c r="AS121" s="108"/>
      <c r="AT121" s="108"/>
      <c r="AU121" s="108"/>
      <c r="AV121" s="109"/>
      <c r="AX121" s="2"/>
    </row>
    <row r="122" spans="5:50" x14ac:dyDescent="0.3">
      <c r="E122" s="1"/>
      <c r="G122" s="59"/>
      <c r="H122" s="60"/>
      <c r="I122" s="60"/>
      <c r="J122" s="60"/>
      <c r="K122" s="61"/>
      <c r="Q122" s="74"/>
      <c r="R122" s="75"/>
      <c r="S122" s="75"/>
      <c r="T122" s="76"/>
      <c r="U122" s="2"/>
      <c r="AC122" s="1"/>
      <c r="AD122" s="98"/>
      <c r="AE122" s="99"/>
      <c r="AF122" s="99"/>
      <c r="AG122" s="99"/>
      <c r="AH122" s="99"/>
      <c r="AI122" s="99"/>
      <c r="AJ122" s="99"/>
      <c r="AK122" s="100"/>
      <c r="AO122" s="107"/>
      <c r="AP122" s="108"/>
      <c r="AQ122" s="108"/>
      <c r="AR122" s="108"/>
      <c r="AS122" s="108"/>
      <c r="AT122" s="108"/>
      <c r="AU122" s="108"/>
      <c r="AV122" s="109"/>
      <c r="AX122" s="2"/>
    </row>
    <row r="123" spans="5:50" x14ac:dyDescent="0.3">
      <c r="E123" s="1"/>
      <c r="G123" s="59"/>
      <c r="H123" s="60"/>
      <c r="I123" s="60"/>
      <c r="J123" s="60"/>
      <c r="K123" s="61"/>
      <c r="Q123" s="74"/>
      <c r="R123" s="75"/>
      <c r="S123" s="75"/>
      <c r="T123" s="76"/>
      <c r="U123" s="2"/>
      <c r="AC123" s="1"/>
      <c r="AD123" s="98"/>
      <c r="AE123" s="99"/>
      <c r="AF123" s="99"/>
      <c r="AG123" s="99"/>
      <c r="AH123" s="99"/>
      <c r="AI123" s="99"/>
      <c r="AJ123" s="99"/>
      <c r="AK123" s="100"/>
      <c r="AO123" s="107"/>
      <c r="AP123" s="108"/>
      <c r="AQ123" s="108"/>
      <c r="AR123" s="108"/>
      <c r="AS123" s="108"/>
      <c r="AT123" s="108"/>
      <c r="AU123" s="108"/>
      <c r="AV123" s="109"/>
      <c r="AX123" s="2"/>
    </row>
    <row r="124" spans="5:50" x14ac:dyDescent="0.3">
      <c r="E124" s="1"/>
      <c r="G124" s="59"/>
      <c r="H124" s="60"/>
      <c r="I124" s="60"/>
      <c r="J124" s="60"/>
      <c r="K124" s="61"/>
      <c r="Q124" s="74"/>
      <c r="R124" s="75"/>
      <c r="S124" s="75"/>
      <c r="T124" s="76"/>
      <c r="U124" s="2"/>
      <c r="AC124" s="1"/>
      <c r="AD124" s="98"/>
      <c r="AE124" s="99"/>
      <c r="AF124" s="99"/>
      <c r="AG124" s="99"/>
      <c r="AH124" s="99"/>
      <c r="AI124" s="99"/>
      <c r="AJ124" s="99"/>
      <c r="AK124" s="100"/>
      <c r="AO124" s="107"/>
      <c r="AP124" s="108"/>
      <c r="AQ124" s="108"/>
      <c r="AR124" s="108"/>
      <c r="AS124" s="108"/>
      <c r="AT124" s="108"/>
      <c r="AU124" s="108"/>
      <c r="AV124" s="109"/>
      <c r="AX124" s="2"/>
    </row>
    <row r="125" spans="5:50" x14ac:dyDescent="0.3">
      <c r="E125" s="1"/>
      <c r="G125" s="59"/>
      <c r="H125" s="60"/>
      <c r="I125" s="60"/>
      <c r="J125" s="60"/>
      <c r="K125" s="61"/>
      <c r="Q125" s="74"/>
      <c r="R125" s="75"/>
      <c r="S125" s="75"/>
      <c r="T125" s="76"/>
      <c r="U125" s="2"/>
      <c r="AC125" s="1"/>
      <c r="AD125" s="98"/>
      <c r="AE125" s="99"/>
      <c r="AF125" s="99"/>
      <c r="AG125" s="99"/>
      <c r="AH125" s="99"/>
      <c r="AI125" s="99"/>
      <c r="AJ125" s="99"/>
      <c r="AK125" s="100"/>
      <c r="AO125" s="107"/>
      <c r="AP125" s="108"/>
      <c r="AQ125" s="108"/>
      <c r="AR125" s="108"/>
      <c r="AS125" s="108"/>
      <c r="AT125" s="108"/>
      <c r="AU125" s="108"/>
      <c r="AV125" s="109"/>
      <c r="AX125" s="2"/>
    </row>
    <row r="126" spans="5:50" ht="15" thickBot="1" x14ac:dyDescent="0.35">
      <c r="E126" s="1"/>
      <c r="G126" s="59"/>
      <c r="H126" s="60"/>
      <c r="I126" s="60"/>
      <c r="J126" s="60"/>
      <c r="K126" s="61"/>
      <c r="Q126" s="77"/>
      <c r="R126" s="78"/>
      <c r="S126" s="78"/>
      <c r="T126" s="79"/>
      <c r="U126" s="2"/>
      <c r="AC126" s="1"/>
      <c r="AD126" s="98"/>
      <c r="AE126" s="99"/>
      <c r="AF126" s="99"/>
      <c r="AG126" s="99"/>
      <c r="AH126" s="99"/>
      <c r="AI126" s="99"/>
      <c r="AJ126" s="99"/>
      <c r="AK126" s="100"/>
      <c r="AO126" s="107"/>
      <c r="AP126" s="108"/>
      <c r="AQ126" s="108"/>
      <c r="AR126" s="108"/>
      <c r="AS126" s="108"/>
      <c r="AT126" s="108"/>
      <c r="AU126" s="108"/>
      <c r="AV126" s="109"/>
      <c r="AX126" s="2"/>
    </row>
    <row r="127" spans="5:50" ht="15" thickBot="1" x14ac:dyDescent="0.35">
      <c r="E127" s="1"/>
      <c r="G127" s="62"/>
      <c r="H127" s="63"/>
      <c r="I127" s="63"/>
      <c r="J127" s="63"/>
      <c r="K127" s="64"/>
      <c r="U127" s="2"/>
      <c r="AC127" s="1"/>
      <c r="AD127" s="98"/>
      <c r="AE127" s="99"/>
      <c r="AF127" s="99"/>
      <c r="AG127" s="99"/>
      <c r="AH127" s="99"/>
      <c r="AI127" s="99"/>
      <c r="AJ127" s="99"/>
      <c r="AK127" s="100"/>
      <c r="AO127" s="107"/>
      <c r="AP127" s="108"/>
      <c r="AQ127" s="108"/>
      <c r="AR127" s="108"/>
      <c r="AS127" s="108"/>
      <c r="AT127" s="108"/>
      <c r="AU127" s="108"/>
      <c r="AV127" s="109"/>
      <c r="AX127" s="2"/>
    </row>
    <row r="128" spans="5:50" x14ac:dyDescent="0.3">
      <c r="E128" s="1"/>
      <c r="U128" s="2"/>
      <c r="AC128" s="1"/>
      <c r="AD128" s="98"/>
      <c r="AE128" s="99"/>
      <c r="AF128" s="99"/>
      <c r="AG128" s="99"/>
      <c r="AH128" s="99"/>
      <c r="AI128" s="99"/>
      <c r="AJ128" s="99"/>
      <c r="AK128" s="100"/>
      <c r="AO128" s="107"/>
      <c r="AP128" s="108"/>
      <c r="AQ128" s="108"/>
      <c r="AR128" s="108"/>
      <c r="AS128" s="108"/>
      <c r="AT128" s="108"/>
      <c r="AU128" s="108"/>
      <c r="AV128" s="109"/>
      <c r="AX128" s="2"/>
    </row>
    <row r="129" spans="5:50" x14ac:dyDescent="0.3">
      <c r="E129" s="1"/>
      <c r="U129" s="2"/>
      <c r="AC129" s="1"/>
      <c r="AD129" s="98"/>
      <c r="AE129" s="99"/>
      <c r="AF129" s="99"/>
      <c r="AG129" s="99"/>
      <c r="AH129" s="99"/>
      <c r="AI129" s="99"/>
      <c r="AJ129" s="99"/>
      <c r="AK129" s="100"/>
      <c r="AO129" s="107"/>
      <c r="AP129" s="108"/>
      <c r="AQ129" s="108"/>
      <c r="AR129" s="108"/>
      <c r="AS129" s="108"/>
      <c r="AT129" s="108"/>
      <c r="AU129" s="108"/>
      <c r="AV129" s="109"/>
      <c r="AX129" s="2"/>
    </row>
    <row r="130" spans="5:50" x14ac:dyDescent="0.3">
      <c r="E130" s="1"/>
      <c r="U130" s="2"/>
      <c r="AC130" s="1"/>
      <c r="AD130" s="98"/>
      <c r="AE130" s="99"/>
      <c r="AF130" s="99"/>
      <c r="AG130" s="99"/>
      <c r="AH130" s="99"/>
      <c r="AI130" s="99"/>
      <c r="AJ130" s="99"/>
      <c r="AK130" s="100"/>
      <c r="AO130" s="107"/>
      <c r="AP130" s="108"/>
      <c r="AQ130" s="108"/>
      <c r="AR130" s="108"/>
      <c r="AS130" s="108"/>
      <c r="AT130" s="108"/>
      <c r="AU130" s="108"/>
      <c r="AV130" s="109"/>
      <c r="AX130" s="2"/>
    </row>
    <row r="131" spans="5:50" ht="15" thickBot="1" x14ac:dyDescent="0.35">
      <c r="E131" s="3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5"/>
      <c r="AC131" s="1"/>
      <c r="AD131" s="98"/>
      <c r="AE131" s="99"/>
      <c r="AF131" s="99"/>
      <c r="AG131" s="99"/>
      <c r="AH131" s="99"/>
      <c r="AI131" s="99"/>
      <c r="AJ131" s="99"/>
      <c r="AK131" s="100"/>
      <c r="AO131" s="107"/>
      <c r="AP131" s="108"/>
      <c r="AQ131" s="108"/>
      <c r="AR131" s="108"/>
      <c r="AS131" s="108"/>
      <c r="AT131" s="108"/>
      <c r="AU131" s="108"/>
      <c r="AV131" s="109"/>
      <c r="AX131" s="2"/>
    </row>
    <row r="132" spans="5:50" x14ac:dyDescent="0.3">
      <c r="AC132" s="1"/>
      <c r="AD132" s="98"/>
      <c r="AE132" s="99"/>
      <c r="AF132" s="99"/>
      <c r="AG132" s="99"/>
      <c r="AH132" s="99"/>
      <c r="AI132" s="99"/>
      <c r="AJ132" s="99"/>
      <c r="AK132" s="100"/>
      <c r="AO132" s="107"/>
      <c r="AP132" s="108"/>
      <c r="AQ132" s="108"/>
      <c r="AR132" s="108"/>
      <c r="AS132" s="108"/>
      <c r="AT132" s="108"/>
      <c r="AU132" s="108"/>
      <c r="AV132" s="109"/>
      <c r="AX132" s="2"/>
    </row>
    <row r="133" spans="5:50" x14ac:dyDescent="0.3">
      <c r="AC133" s="1"/>
      <c r="AD133" s="98"/>
      <c r="AE133" s="99"/>
      <c r="AF133" s="99"/>
      <c r="AG133" s="99"/>
      <c r="AH133" s="99"/>
      <c r="AI133" s="99"/>
      <c r="AJ133" s="99"/>
      <c r="AK133" s="100"/>
      <c r="AO133" s="107"/>
      <c r="AP133" s="108"/>
      <c r="AQ133" s="108"/>
      <c r="AR133" s="108"/>
      <c r="AS133" s="108"/>
      <c r="AT133" s="108"/>
      <c r="AU133" s="108"/>
      <c r="AV133" s="109"/>
      <c r="AX133" s="2"/>
    </row>
    <row r="134" spans="5:50" x14ac:dyDescent="0.3">
      <c r="AC134" s="1"/>
      <c r="AD134" s="98"/>
      <c r="AE134" s="99"/>
      <c r="AF134" s="99"/>
      <c r="AG134" s="99"/>
      <c r="AH134" s="99"/>
      <c r="AI134" s="99"/>
      <c r="AJ134" s="99"/>
      <c r="AK134" s="100"/>
      <c r="AO134" s="107"/>
      <c r="AP134" s="108"/>
      <c r="AQ134" s="108"/>
      <c r="AR134" s="108"/>
      <c r="AS134" s="108"/>
      <c r="AT134" s="108"/>
      <c r="AU134" s="108"/>
      <c r="AV134" s="109"/>
      <c r="AX134" s="2"/>
    </row>
    <row r="135" spans="5:50" x14ac:dyDescent="0.3">
      <c r="AC135" s="1"/>
      <c r="AD135" s="98"/>
      <c r="AE135" s="99"/>
      <c r="AF135" s="99"/>
      <c r="AG135" s="99"/>
      <c r="AH135" s="99"/>
      <c r="AI135" s="99"/>
      <c r="AJ135" s="99"/>
      <c r="AK135" s="100"/>
      <c r="AO135" s="107"/>
      <c r="AP135" s="108"/>
      <c r="AQ135" s="108"/>
      <c r="AR135" s="108"/>
      <c r="AS135" s="108"/>
      <c r="AT135" s="108"/>
      <c r="AU135" s="108"/>
      <c r="AV135" s="109"/>
      <c r="AX135" s="2"/>
    </row>
    <row r="136" spans="5:50" x14ac:dyDescent="0.3">
      <c r="AC136" s="1"/>
      <c r="AD136" s="98"/>
      <c r="AE136" s="99"/>
      <c r="AF136" s="99"/>
      <c r="AG136" s="99"/>
      <c r="AH136" s="99"/>
      <c r="AI136" s="99"/>
      <c r="AJ136" s="99"/>
      <c r="AK136" s="100"/>
      <c r="AO136" s="107"/>
      <c r="AP136" s="108"/>
      <c r="AQ136" s="108"/>
      <c r="AR136" s="108"/>
      <c r="AS136" s="108"/>
      <c r="AT136" s="108"/>
      <c r="AU136" s="108"/>
      <c r="AV136" s="109"/>
      <c r="AX136" s="2"/>
    </row>
    <row r="137" spans="5:50" x14ac:dyDescent="0.3">
      <c r="AC137" s="1"/>
      <c r="AD137" s="98"/>
      <c r="AE137" s="99"/>
      <c r="AF137" s="99"/>
      <c r="AG137" s="99"/>
      <c r="AH137" s="99"/>
      <c r="AI137" s="99"/>
      <c r="AJ137" s="99"/>
      <c r="AK137" s="100"/>
      <c r="AO137" s="107"/>
      <c r="AP137" s="108"/>
      <c r="AQ137" s="108"/>
      <c r="AR137" s="108"/>
      <c r="AS137" s="108"/>
      <c r="AT137" s="108"/>
      <c r="AU137" s="108"/>
      <c r="AV137" s="109"/>
      <c r="AX137" s="2"/>
    </row>
    <row r="138" spans="5:50" x14ac:dyDescent="0.3">
      <c r="AC138" s="1"/>
      <c r="AD138" s="98"/>
      <c r="AE138" s="99"/>
      <c r="AF138" s="99"/>
      <c r="AG138" s="99"/>
      <c r="AH138" s="99"/>
      <c r="AI138" s="99"/>
      <c r="AJ138" s="99"/>
      <c r="AK138" s="100"/>
      <c r="AO138" s="107"/>
      <c r="AP138" s="108"/>
      <c r="AQ138" s="108"/>
      <c r="AR138" s="108"/>
      <c r="AS138" s="108"/>
      <c r="AT138" s="108"/>
      <c r="AU138" s="108"/>
      <c r="AV138" s="109"/>
      <c r="AX138" s="2"/>
    </row>
    <row r="139" spans="5:50" x14ac:dyDescent="0.3">
      <c r="AC139" s="1"/>
      <c r="AD139" s="98"/>
      <c r="AE139" s="99"/>
      <c r="AF139" s="99"/>
      <c r="AG139" s="99"/>
      <c r="AH139" s="99"/>
      <c r="AI139" s="99"/>
      <c r="AJ139" s="99"/>
      <c r="AK139" s="100"/>
      <c r="AO139" s="107"/>
      <c r="AP139" s="108"/>
      <c r="AQ139" s="108"/>
      <c r="AR139" s="108"/>
      <c r="AS139" s="108"/>
      <c r="AT139" s="108"/>
      <c r="AU139" s="108"/>
      <c r="AV139" s="109"/>
      <c r="AX139" s="2"/>
    </row>
    <row r="140" spans="5:50" x14ac:dyDescent="0.3">
      <c r="AC140" s="1"/>
      <c r="AD140" s="98"/>
      <c r="AE140" s="99"/>
      <c r="AF140" s="99"/>
      <c r="AG140" s="99"/>
      <c r="AH140" s="99"/>
      <c r="AI140" s="99"/>
      <c r="AJ140" s="99"/>
      <c r="AK140" s="100"/>
      <c r="AO140" s="107"/>
      <c r="AP140" s="108"/>
      <c r="AQ140" s="108"/>
      <c r="AR140" s="108"/>
      <c r="AS140" s="108"/>
      <c r="AT140" s="108"/>
      <c r="AU140" s="108"/>
      <c r="AV140" s="109"/>
      <c r="AX140" s="2"/>
    </row>
    <row r="141" spans="5:50" x14ac:dyDescent="0.3">
      <c r="AC141" s="1"/>
      <c r="AD141" s="98"/>
      <c r="AE141" s="99"/>
      <c r="AF141" s="99"/>
      <c r="AG141" s="99"/>
      <c r="AH141" s="99"/>
      <c r="AI141" s="99"/>
      <c r="AJ141" s="99"/>
      <c r="AK141" s="100"/>
      <c r="AO141" s="107"/>
      <c r="AP141" s="108"/>
      <c r="AQ141" s="108"/>
      <c r="AR141" s="108"/>
      <c r="AS141" s="108"/>
      <c r="AT141" s="108"/>
      <c r="AU141" s="108"/>
      <c r="AV141" s="109"/>
      <c r="AX141" s="2"/>
    </row>
    <row r="142" spans="5:50" x14ac:dyDescent="0.3">
      <c r="AC142" s="1"/>
      <c r="AD142" s="98"/>
      <c r="AE142" s="99"/>
      <c r="AF142" s="99"/>
      <c r="AG142" s="99"/>
      <c r="AH142" s="99"/>
      <c r="AI142" s="99"/>
      <c r="AJ142" s="99"/>
      <c r="AK142" s="100"/>
      <c r="AO142" s="107"/>
      <c r="AP142" s="108"/>
      <c r="AQ142" s="108"/>
      <c r="AR142" s="108"/>
      <c r="AS142" s="108"/>
      <c r="AT142" s="108"/>
      <c r="AU142" s="108"/>
      <c r="AV142" s="109"/>
      <c r="AX142" s="2"/>
    </row>
    <row r="143" spans="5:50" x14ac:dyDescent="0.3">
      <c r="AC143" s="1"/>
      <c r="AD143" s="98"/>
      <c r="AE143" s="99"/>
      <c r="AF143" s="99"/>
      <c r="AG143" s="99"/>
      <c r="AH143" s="99"/>
      <c r="AI143" s="99"/>
      <c r="AJ143" s="99"/>
      <c r="AK143" s="100"/>
      <c r="AO143" s="107"/>
      <c r="AP143" s="108"/>
      <c r="AQ143" s="108"/>
      <c r="AR143" s="108"/>
      <c r="AS143" s="108"/>
      <c r="AT143" s="108"/>
      <c r="AU143" s="108"/>
      <c r="AV143" s="109"/>
      <c r="AX143" s="2"/>
    </row>
    <row r="144" spans="5:50" x14ac:dyDescent="0.3">
      <c r="AC144" s="1"/>
      <c r="AD144" s="98"/>
      <c r="AE144" s="99"/>
      <c r="AF144" s="99"/>
      <c r="AG144" s="99"/>
      <c r="AH144" s="99"/>
      <c r="AI144" s="99"/>
      <c r="AJ144" s="99"/>
      <c r="AK144" s="100"/>
      <c r="AO144" s="107"/>
      <c r="AP144" s="108"/>
      <c r="AQ144" s="108"/>
      <c r="AR144" s="108"/>
      <c r="AS144" s="108"/>
      <c r="AT144" s="108"/>
      <c r="AU144" s="108"/>
      <c r="AV144" s="109"/>
      <c r="AX144" s="2"/>
    </row>
    <row r="145" spans="29:50" x14ac:dyDescent="0.3">
      <c r="AC145" s="1"/>
      <c r="AD145" s="98"/>
      <c r="AE145" s="99"/>
      <c r="AF145" s="99"/>
      <c r="AG145" s="99"/>
      <c r="AH145" s="99"/>
      <c r="AI145" s="99"/>
      <c r="AJ145" s="99"/>
      <c r="AK145" s="100"/>
      <c r="AO145" s="107"/>
      <c r="AP145" s="108"/>
      <c r="AQ145" s="108"/>
      <c r="AR145" s="108"/>
      <c r="AS145" s="108"/>
      <c r="AT145" s="108"/>
      <c r="AU145" s="108"/>
      <c r="AV145" s="109"/>
      <c r="AX145" s="2"/>
    </row>
    <row r="146" spans="29:50" ht="15" thickBot="1" x14ac:dyDescent="0.35">
      <c r="AC146" s="1"/>
      <c r="AD146" s="101"/>
      <c r="AE146" s="102"/>
      <c r="AF146" s="102"/>
      <c r="AG146" s="102"/>
      <c r="AH146" s="102"/>
      <c r="AI146" s="102"/>
      <c r="AJ146" s="102"/>
      <c r="AK146" s="103"/>
      <c r="AO146" s="110"/>
      <c r="AP146" s="111"/>
      <c r="AQ146" s="111"/>
      <c r="AR146" s="111"/>
      <c r="AS146" s="111"/>
      <c r="AT146" s="111"/>
      <c r="AU146" s="111"/>
      <c r="AV146" s="112"/>
      <c r="AX146" s="2"/>
    </row>
    <row r="147" spans="29:50" x14ac:dyDescent="0.3">
      <c r="AC147" s="1"/>
      <c r="AX147" s="2"/>
    </row>
    <row r="148" spans="29:50" x14ac:dyDescent="0.3">
      <c r="AC148" s="1"/>
      <c r="AX148" s="2"/>
    </row>
    <row r="149" spans="29:50" x14ac:dyDescent="0.3">
      <c r="AC149" s="1"/>
      <c r="AX149" s="2"/>
    </row>
    <row r="150" spans="29:50" x14ac:dyDescent="0.3">
      <c r="AC150" s="1"/>
      <c r="AX150" s="2"/>
    </row>
    <row r="151" spans="29:50" x14ac:dyDescent="0.3">
      <c r="AC151" s="1"/>
      <c r="AX151" s="2"/>
    </row>
    <row r="152" spans="29:50" x14ac:dyDescent="0.3">
      <c r="AC152" s="1"/>
      <c r="AX152" s="2"/>
    </row>
    <row r="153" spans="29:50" x14ac:dyDescent="0.3">
      <c r="AC153" s="1"/>
      <c r="AX153" s="2"/>
    </row>
    <row r="154" spans="29:50" x14ac:dyDescent="0.3">
      <c r="AC154" s="1"/>
      <c r="AX154" s="2"/>
    </row>
    <row r="155" spans="29:50" x14ac:dyDescent="0.3">
      <c r="AC155" s="1"/>
      <c r="AX155" s="2"/>
    </row>
    <row r="156" spans="29:50" x14ac:dyDescent="0.3">
      <c r="AC156" s="1"/>
      <c r="AX156" s="2"/>
    </row>
    <row r="157" spans="29:50" x14ac:dyDescent="0.3">
      <c r="AC157" s="1"/>
      <c r="AX157" s="2"/>
    </row>
    <row r="158" spans="29:50" x14ac:dyDescent="0.3">
      <c r="AC158" s="1"/>
      <c r="AX158" s="2"/>
    </row>
    <row r="159" spans="29:50" x14ac:dyDescent="0.3">
      <c r="AC159" s="1"/>
      <c r="AX159" s="2"/>
    </row>
    <row r="160" spans="29:50" x14ac:dyDescent="0.3">
      <c r="AC160" s="1"/>
      <c r="AX160" s="2"/>
    </row>
    <row r="161" spans="29:50" x14ac:dyDescent="0.3">
      <c r="AC161" s="1"/>
      <c r="AX161" s="2"/>
    </row>
    <row r="162" spans="29:50" x14ac:dyDescent="0.3">
      <c r="AC162" s="1"/>
      <c r="AX162" s="2"/>
    </row>
    <row r="163" spans="29:50" x14ac:dyDescent="0.3">
      <c r="AC163" s="1"/>
      <c r="AX163" s="2"/>
    </row>
    <row r="164" spans="29:50" x14ac:dyDescent="0.3">
      <c r="AC164" s="1"/>
      <c r="AX164" s="2"/>
    </row>
    <row r="165" spans="29:50" x14ac:dyDescent="0.3">
      <c r="AC165" s="1"/>
      <c r="AX165" s="2"/>
    </row>
    <row r="166" spans="29:50" x14ac:dyDescent="0.3">
      <c r="AC166" s="1"/>
      <c r="AX166" s="2"/>
    </row>
    <row r="167" spans="29:50" x14ac:dyDescent="0.3">
      <c r="AC167" s="1"/>
      <c r="AX167" s="2"/>
    </row>
    <row r="168" spans="29:50" x14ac:dyDescent="0.3">
      <c r="AC168" s="1"/>
      <c r="AX168" s="2"/>
    </row>
    <row r="169" spans="29:50" ht="15" thickBot="1" x14ac:dyDescent="0.35">
      <c r="AC169" s="3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5"/>
    </row>
  </sheetData>
  <mergeCells count="39">
    <mergeCell ref="N39:O39"/>
    <mergeCell ref="N40:O40"/>
    <mergeCell ref="D4:O4"/>
    <mergeCell ref="D14:J14"/>
    <mergeCell ref="G18:I18"/>
    <mergeCell ref="G19:I19"/>
    <mergeCell ref="AB1:AR1"/>
    <mergeCell ref="L14:Q14"/>
    <mergeCell ref="E6:F6"/>
    <mergeCell ref="H6:I6"/>
    <mergeCell ref="AC2:AD2"/>
    <mergeCell ref="AH2:AQ2"/>
    <mergeCell ref="AI4:AJ4"/>
    <mergeCell ref="AL4:AP101"/>
    <mergeCell ref="K6:L6"/>
    <mergeCell ref="T4:U4"/>
    <mergeCell ref="W4:X4"/>
    <mergeCell ref="C2:Y2"/>
    <mergeCell ref="N30:O30"/>
    <mergeCell ref="N29:O29"/>
    <mergeCell ref="N35:O35"/>
    <mergeCell ref="N36:O36"/>
    <mergeCell ref="E81:U82"/>
    <mergeCell ref="F86:L86"/>
    <mergeCell ref="G96:K96"/>
    <mergeCell ref="M96:O96"/>
    <mergeCell ref="Q111:T111"/>
    <mergeCell ref="Q85:T85"/>
    <mergeCell ref="AC109:AX110"/>
    <mergeCell ref="AD113:AK114"/>
    <mergeCell ref="AD115:AK146"/>
    <mergeCell ref="AO118:AV146"/>
    <mergeCell ref="AN113:AW117"/>
    <mergeCell ref="P49:U49"/>
    <mergeCell ref="O44:U44"/>
    <mergeCell ref="P45:U45"/>
    <mergeCell ref="P46:U46"/>
    <mergeCell ref="P47:U47"/>
    <mergeCell ref="P48:U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rrorw1.Btn_Teclado_Click">
                <anchor moveWithCells="1" sizeWithCells="1">
                  <from>
                    <xdr:col>5</xdr:col>
                    <xdr:colOff>22860</xdr:colOff>
                    <xdr:row>86</xdr:row>
                    <xdr:rowOff>0</xdr:rowOff>
                  </from>
                  <to>
                    <xdr:col>11</xdr:col>
                    <xdr:colOff>1965960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_Joystick_Izq">
                <anchor moveWithCells="1" sizeWithCells="1">
                  <from>
                    <xdr:col>16</xdr:col>
                    <xdr:colOff>99060</xdr:colOff>
                    <xdr:row>116</xdr:row>
                    <xdr:rowOff>144780</xdr:rowOff>
                  </from>
                  <to>
                    <xdr:col>17</xdr:col>
                    <xdr:colOff>251460</xdr:colOff>
                    <xdr:row>120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tn_Joystick_Arriba">
                <anchor moveWithCells="1" sizeWithCells="1">
                  <from>
                    <xdr:col>17</xdr:col>
                    <xdr:colOff>350520</xdr:colOff>
                    <xdr:row>112</xdr:row>
                    <xdr:rowOff>38100</xdr:rowOff>
                  </from>
                  <to>
                    <xdr:col>18</xdr:col>
                    <xdr:colOff>502920</xdr:colOff>
                    <xdr:row>115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Btn_Joystick_Der">
                <anchor moveWithCells="1" sizeWithCells="1">
                  <from>
                    <xdr:col>18</xdr:col>
                    <xdr:colOff>609600</xdr:colOff>
                    <xdr:row>116</xdr:row>
                    <xdr:rowOff>167640</xdr:rowOff>
                  </from>
                  <to>
                    <xdr:col>19</xdr:col>
                    <xdr:colOff>762000</xdr:colOff>
                    <xdr:row>120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tn_Joystick_Abajo">
                <anchor moveWithCells="1" sizeWithCells="1">
                  <from>
                    <xdr:col>17</xdr:col>
                    <xdr:colOff>350520</xdr:colOff>
                    <xdr:row>121</xdr:row>
                    <xdr:rowOff>60960</xdr:rowOff>
                  </from>
                  <to>
                    <xdr:col>18</xdr:col>
                    <xdr:colOff>502920</xdr:colOff>
                    <xdr:row>124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rrorw1.Btn_Mouse_Click_Izq">
                <anchor moveWithCells="1" sizeWithCells="1">
                  <from>
                    <xdr:col>12</xdr:col>
                    <xdr:colOff>106680</xdr:colOff>
                    <xdr:row>96</xdr:row>
                    <xdr:rowOff>144780</xdr:rowOff>
                  </from>
                  <to>
                    <xdr:col>13</xdr:col>
                    <xdr:colOff>731520</xdr:colOff>
                    <xdr:row>108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Arrorw1.Btn_Mouse_Click_Der">
                <anchor moveWithCells="1" sizeWithCells="1">
                  <from>
                    <xdr:col>13</xdr:col>
                    <xdr:colOff>784860</xdr:colOff>
                    <xdr:row>96</xdr:row>
                    <xdr:rowOff>144780</xdr:rowOff>
                  </from>
                  <to>
                    <xdr:col>14</xdr:col>
                    <xdr:colOff>1203960</xdr:colOff>
                    <xdr:row>108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Arrorw1.Btn_Joystick_Izq">
                <anchor moveWithCells="1" sizeWithCells="1">
                  <from>
                    <xdr:col>16</xdr:col>
                    <xdr:colOff>99060</xdr:colOff>
                    <xdr:row>90</xdr:row>
                    <xdr:rowOff>144780</xdr:rowOff>
                  </from>
                  <to>
                    <xdr:col>17</xdr:col>
                    <xdr:colOff>251460</xdr:colOff>
                    <xdr:row>94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Arrorw1.Btn_Joystick_Arriba">
                <anchor moveWithCells="1" sizeWithCells="1">
                  <from>
                    <xdr:col>17</xdr:col>
                    <xdr:colOff>350520</xdr:colOff>
                    <xdr:row>86</xdr:row>
                    <xdr:rowOff>38100</xdr:rowOff>
                  </from>
                  <to>
                    <xdr:col>18</xdr:col>
                    <xdr:colOff>502920</xdr:colOff>
                    <xdr:row>89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Arrorw1.Btn_Joystick_Der">
                <anchor moveWithCells="1" sizeWithCells="1">
                  <from>
                    <xdr:col>18</xdr:col>
                    <xdr:colOff>609600</xdr:colOff>
                    <xdr:row>90</xdr:row>
                    <xdr:rowOff>167640</xdr:rowOff>
                  </from>
                  <to>
                    <xdr:col>19</xdr:col>
                    <xdr:colOff>762000</xdr:colOff>
                    <xdr:row>94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Arrorw1.Btn_Joystick_Abajo">
                <anchor moveWithCells="1" sizeWithCells="1">
                  <from>
                    <xdr:col>17</xdr:col>
                    <xdr:colOff>350520</xdr:colOff>
                    <xdr:row>95</xdr:row>
                    <xdr:rowOff>60960</xdr:rowOff>
                  </from>
                  <to>
                    <xdr:col>18</xdr:col>
                    <xdr:colOff>502920</xdr:colOff>
                    <xdr:row>98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Arrorw1.LimpiarSimuladorCompleto">
                <anchor moveWithCells="1" sizeWithCells="1">
                  <from>
                    <xdr:col>11</xdr:col>
                    <xdr:colOff>1409700</xdr:colOff>
                    <xdr:row>115</xdr:row>
                    <xdr:rowOff>137160</xdr:rowOff>
                  </from>
                  <to>
                    <xdr:col>13</xdr:col>
                    <xdr:colOff>609600</xdr:colOff>
                    <xdr:row>125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0DEFD-6074-4104-A7C9-D344FDAA4850}">
  <sheetPr codeName="Hoja4"/>
  <dimension ref="C5:AK63"/>
  <sheetViews>
    <sheetView zoomScale="38" zoomScaleNormal="70" workbookViewId="0">
      <selection activeCell="AE39" sqref="AE39"/>
    </sheetView>
  </sheetViews>
  <sheetFormatPr baseColWidth="10" defaultColWidth="10.88671875" defaultRowHeight="14.4" x14ac:dyDescent="0.3"/>
  <cols>
    <col min="10" max="10" width="11.44140625" customWidth="1"/>
    <col min="11" max="11" width="4.33203125" customWidth="1"/>
    <col min="17" max="17" width="3.109375" customWidth="1"/>
  </cols>
  <sheetData>
    <row r="5" spans="11:23" x14ac:dyDescent="0.3">
      <c r="K5" s="33"/>
      <c r="L5" s="206" t="s">
        <v>39</v>
      </c>
      <c r="M5" s="206"/>
      <c r="N5" s="206"/>
      <c r="O5" s="206"/>
      <c r="P5" s="206"/>
      <c r="Q5" s="34"/>
    </row>
    <row r="6" spans="11:23" x14ac:dyDescent="0.3">
      <c r="K6" s="32"/>
      <c r="L6" s="190" t="s">
        <v>46</v>
      </c>
      <c r="M6" s="190"/>
      <c r="N6" s="190"/>
      <c r="O6" s="190"/>
      <c r="P6" s="190"/>
      <c r="Q6" s="35"/>
    </row>
    <row r="7" spans="11:23" x14ac:dyDescent="0.3">
      <c r="K7" s="32"/>
      <c r="L7" s="191"/>
      <c r="M7" s="191"/>
      <c r="N7" s="191"/>
      <c r="O7" s="191"/>
      <c r="P7" s="191"/>
      <c r="Q7" s="35"/>
      <c r="U7" s="177"/>
      <c r="V7" s="178"/>
    </row>
    <row r="8" spans="11:23" x14ac:dyDescent="0.3">
      <c r="K8" s="32"/>
      <c r="L8" s="191"/>
      <c r="M8" s="191"/>
      <c r="N8" s="191"/>
      <c r="O8" s="191"/>
      <c r="P8" s="191"/>
      <c r="Q8" s="35"/>
      <c r="U8" s="179"/>
      <c r="V8" s="180"/>
    </row>
    <row r="9" spans="11:23" x14ac:dyDescent="0.3">
      <c r="K9" s="32"/>
      <c r="L9" s="191"/>
      <c r="M9" s="191"/>
      <c r="N9" s="191"/>
      <c r="O9" s="191"/>
      <c r="P9" s="191"/>
      <c r="Q9" s="35"/>
      <c r="T9" s="181" t="s">
        <v>40</v>
      </c>
      <c r="U9" s="182"/>
      <c r="V9" s="182"/>
      <c r="W9" s="183"/>
    </row>
    <row r="10" spans="11:23" x14ac:dyDescent="0.3">
      <c r="K10" s="32"/>
      <c r="L10" s="191"/>
      <c r="M10" s="191"/>
      <c r="N10" s="191"/>
      <c r="O10" s="191"/>
      <c r="P10" s="191"/>
      <c r="Q10" s="35"/>
      <c r="T10" s="184"/>
      <c r="U10" s="185"/>
      <c r="V10" s="185"/>
      <c r="W10" s="186"/>
    </row>
    <row r="11" spans="11:23" x14ac:dyDescent="0.3">
      <c r="K11" s="32"/>
      <c r="L11" s="191"/>
      <c r="M11" s="191"/>
      <c r="N11" s="191"/>
      <c r="O11" s="191"/>
      <c r="P11" s="191"/>
      <c r="Q11" s="35"/>
      <c r="T11" s="187"/>
      <c r="U11" s="188"/>
      <c r="V11" s="188"/>
      <c r="W11" s="189"/>
    </row>
    <row r="12" spans="11:23" x14ac:dyDescent="0.3">
      <c r="K12" s="32"/>
      <c r="L12" s="191"/>
      <c r="M12" s="191"/>
      <c r="N12" s="191"/>
      <c r="O12" s="191"/>
      <c r="P12" s="191"/>
      <c r="Q12" s="35"/>
      <c r="U12" s="207" t="s">
        <v>45</v>
      </c>
      <c r="V12" s="208"/>
    </row>
    <row r="13" spans="11:23" x14ac:dyDescent="0.3">
      <c r="K13" s="32"/>
      <c r="L13" s="191"/>
      <c r="M13" s="191"/>
      <c r="N13" s="191"/>
      <c r="O13" s="191"/>
      <c r="P13" s="191"/>
      <c r="Q13" s="35"/>
      <c r="U13" s="209"/>
      <c r="V13" s="210"/>
    </row>
    <row r="14" spans="11:23" x14ac:dyDescent="0.3">
      <c r="K14" s="32"/>
      <c r="L14" s="191"/>
      <c r="M14" s="191"/>
      <c r="N14" s="191"/>
      <c r="O14" s="191"/>
      <c r="P14" s="191"/>
      <c r="Q14" s="35"/>
      <c r="U14" s="209"/>
      <c r="V14" s="210"/>
    </row>
    <row r="15" spans="11:23" x14ac:dyDescent="0.3">
      <c r="K15" s="32"/>
      <c r="L15" s="191"/>
      <c r="M15" s="191"/>
      <c r="N15" s="191"/>
      <c r="O15" s="191"/>
      <c r="P15" s="191"/>
      <c r="Q15" s="35"/>
      <c r="U15" s="209"/>
      <c r="V15" s="210"/>
    </row>
    <row r="16" spans="11:23" x14ac:dyDescent="0.3">
      <c r="K16" s="32"/>
      <c r="L16" s="191"/>
      <c r="M16" s="191"/>
      <c r="N16" s="191"/>
      <c r="O16" s="191"/>
      <c r="P16" s="191"/>
      <c r="Q16" s="35"/>
      <c r="U16" s="209"/>
      <c r="V16" s="210"/>
    </row>
    <row r="17" spans="4:37" x14ac:dyDescent="0.3">
      <c r="K17" s="32"/>
      <c r="L17" s="191"/>
      <c r="M17" s="191"/>
      <c r="N17" s="191"/>
      <c r="O17" s="191"/>
      <c r="P17" s="191"/>
      <c r="Q17" s="35"/>
      <c r="U17" s="209"/>
      <c r="V17" s="210"/>
    </row>
    <row r="18" spans="4:37" x14ac:dyDescent="0.3">
      <c r="K18" s="32"/>
      <c r="L18" s="191"/>
      <c r="M18" s="191"/>
      <c r="N18" s="191"/>
      <c r="O18" s="191"/>
      <c r="P18" s="191"/>
      <c r="Q18" s="35"/>
      <c r="U18" s="209"/>
      <c r="V18" s="210"/>
    </row>
    <row r="19" spans="4:37" x14ac:dyDescent="0.3">
      <c r="K19" s="32"/>
      <c r="L19" s="191"/>
      <c r="M19" s="191"/>
      <c r="N19" s="191"/>
      <c r="O19" s="191"/>
      <c r="P19" s="191"/>
      <c r="Q19" s="35"/>
      <c r="U19" s="209"/>
      <c r="V19" s="210"/>
    </row>
    <row r="20" spans="4:37" x14ac:dyDescent="0.3">
      <c r="K20" s="32"/>
      <c r="L20" s="191"/>
      <c r="M20" s="191"/>
      <c r="N20" s="191"/>
      <c r="O20" s="191"/>
      <c r="P20" s="191"/>
      <c r="Q20" s="35"/>
      <c r="U20" s="209"/>
      <c r="V20" s="210"/>
    </row>
    <row r="21" spans="4:37" x14ac:dyDescent="0.3">
      <c r="K21" s="36"/>
      <c r="L21" s="37"/>
      <c r="M21" s="37"/>
      <c r="N21" s="37"/>
      <c r="O21" s="37"/>
      <c r="P21" s="37"/>
      <c r="Q21" s="38"/>
      <c r="U21" s="209"/>
      <c r="V21" s="210"/>
    </row>
    <row r="22" spans="4:37" x14ac:dyDescent="0.3">
      <c r="E22" s="195" t="s">
        <v>45</v>
      </c>
      <c r="F22" s="196"/>
      <c r="G22" s="197"/>
      <c r="U22" s="209"/>
      <c r="V22" s="210"/>
    </row>
    <row r="23" spans="4:37" x14ac:dyDescent="0.3">
      <c r="E23" s="198"/>
      <c r="F23" s="199"/>
      <c r="G23" s="200"/>
      <c r="U23" s="209"/>
      <c r="V23" s="210"/>
    </row>
    <row r="24" spans="4:37" x14ac:dyDescent="0.3">
      <c r="E24" s="198"/>
      <c r="F24" s="199"/>
      <c r="G24" s="200"/>
      <c r="U24" s="211"/>
      <c r="V24" s="212"/>
    </row>
    <row r="25" spans="4:37" x14ac:dyDescent="0.3">
      <c r="E25" s="198"/>
      <c r="F25" s="199"/>
      <c r="G25" s="200"/>
    </row>
    <row r="26" spans="4:37" x14ac:dyDescent="0.3">
      <c r="E26" s="201"/>
      <c r="F26" s="202"/>
      <c r="G26" s="203"/>
    </row>
    <row r="27" spans="4:37" x14ac:dyDescent="0.3">
      <c r="D27" s="194" t="s">
        <v>43</v>
      </c>
      <c r="E27" s="194"/>
      <c r="F27" s="194"/>
      <c r="G27" s="194"/>
      <c r="H27" s="194"/>
    </row>
    <row r="28" spans="4:37" ht="15" thickBot="1" x14ac:dyDescent="0.35">
      <c r="D28" s="194"/>
      <c r="E28" s="194"/>
      <c r="F28" s="194"/>
      <c r="G28" s="194"/>
      <c r="H28" s="194"/>
    </row>
    <row r="29" spans="4:37" x14ac:dyDescent="0.3">
      <c r="D29" s="194"/>
      <c r="E29" s="194"/>
      <c r="F29" s="194"/>
      <c r="G29" s="194"/>
      <c r="H29" s="194"/>
      <c r="S29" s="104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6"/>
    </row>
    <row r="30" spans="4:37" ht="15" thickBot="1" x14ac:dyDescent="0.35">
      <c r="D30" s="194"/>
      <c r="E30" s="194"/>
      <c r="F30" s="194"/>
      <c r="G30" s="194"/>
      <c r="H30" s="194"/>
      <c r="S30" s="110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2"/>
    </row>
    <row r="31" spans="4:37" x14ac:dyDescent="0.3">
      <c r="D31" s="194"/>
      <c r="E31" s="194"/>
      <c r="F31" s="194"/>
      <c r="G31" s="194"/>
      <c r="H31" s="194"/>
      <c r="S31" s="1"/>
      <c r="AK31" s="2"/>
    </row>
    <row r="32" spans="4:37" x14ac:dyDescent="0.3">
      <c r="S32" s="1"/>
      <c r="AK32" s="2"/>
    </row>
    <row r="33" spans="7:37" x14ac:dyDescent="0.3">
      <c r="S33" s="1"/>
      <c r="AK33" s="2"/>
    </row>
    <row r="34" spans="7:37" x14ac:dyDescent="0.3">
      <c r="S34" s="1"/>
      <c r="AK34" s="2"/>
    </row>
    <row r="35" spans="7:37" x14ac:dyDescent="0.3">
      <c r="S35" s="1"/>
      <c r="AK35" s="2"/>
    </row>
    <row r="36" spans="7:37" x14ac:dyDescent="0.3">
      <c r="G36" s="192" t="s">
        <v>44</v>
      </c>
      <c r="H36" s="192"/>
      <c r="I36" s="192"/>
      <c r="S36" s="1"/>
      <c r="AK36" s="2"/>
    </row>
    <row r="37" spans="7:37" x14ac:dyDescent="0.3">
      <c r="G37" s="193"/>
      <c r="H37" s="193"/>
      <c r="I37" s="193"/>
      <c r="S37" s="1"/>
      <c r="AK37" s="2"/>
    </row>
    <row r="38" spans="7:37" x14ac:dyDescent="0.3">
      <c r="G38" s="193"/>
      <c r="H38" s="193"/>
      <c r="I38" s="193"/>
      <c r="S38" s="1"/>
      <c r="AK38" s="2"/>
    </row>
    <row r="39" spans="7:37" x14ac:dyDescent="0.3">
      <c r="G39" s="193"/>
      <c r="H39" s="193"/>
      <c r="I39" s="193"/>
      <c r="S39" s="1"/>
      <c r="AK39" s="2"/>
    </row>
    <row r="40" spans="7:37" x14ac:dyDescent="0.3">
      <c r="G40" s="193"/>
      <c r="H40" s="39"/>
      <c r="I40" s="193"/>
      <c r="S40" s="1"/>
      <c r="AK40" s="2"/>
    </row>
    <row r="41" spans="7:37" x14ac:dyDescent="0.3">
      <c r="G41" s="193"/>
      <c r="H41" s="193"/>
      <c r="I41" s="193"/>
      <c r="S41" s="1"/>
      <c r="AK41" s="2"/>
    </row>
    <row r="42" spans="7:37" x14ac:dyDescent="0.3">
      <c r="G42" s="193"/>
      <c r="H42" s="193"/>
      <c r="I42" s="193"/>
      <c r="S42" s="1"/>
      <c r="AK42" s="2"/>
    </row>
    <row r="43" spans="7:37" x14ac:dyDescent="0.3">
      <c r="G43" s="193"/>
      <c r="H43" s="193"/>
      <c r="I43" s="193"/>
      <c r="S43" s="1"/>
      <c r="AK43" s="2"/>
    </row>
    <row r="44" spans="7:37" x14ac:dyDescent="0.3">
      <c r="S44" s="1"/>
      <c r="AK44" s="2"/>
    </row>
    <row r="45" spans="7:37" x14ac:dyDescent="0.3">
      <c r="S45" s="1"/>
      <c r="AK45" s="2"/>
    </row>
    <row r="46" spans="7:37" x14ac:dyDescent="0.3">
      <c r="S46" s="1"/>
      <c r="AK46" s="2"/>
    </row>
    <row r="47" spans="7:37" x14ac:dyDescent="0.3">
      <c r="S47" s="1"/>
      <c r="AK47" s="2"/>
    </row>
    <row r="48" spans="7:37" x14ac:dyDescent="0.3">
      <c r="S48" s="1"/>
      <c r="AK48" s="2"/>
    </row>
    <row r="49" spans="3:37" x14ac:dyDescent="0.3">
      <c r="C49" s="205" t="s">
        <v>41</v>
      </c>
      <c r="D49" s="205"/>
      <c r="E49" s="205"/>
      <c r="F49" s="205"/>
      <c r="G49" s="205"/>
      <c r="S49" s="1"/>
      <c r="AK49" s="2"/>
    </row>
    <row r="50" spans="3:37" x14ac:dyDescent="0.3">
      <c r="C50" s="204"/>
      <c r="D50" s="204"/>
      <c r="E50" s="204"/>
      <c r="F50" s="204"/>
      <c r="G50" s="204"/>
      <c r="S50" s="1"/>
      <c r="AK50" s="2"/>
    </row>
    <row r="51" spans="3:37" x14ac:dyDescent="0.3">
      <c r="C51" s="204"/>
      <c r="D51" s="204"/>
      <c r="E51" s="204"/>
      <c r="F51" s="204"/>
      <c r="G51" s="204"/>
      <c r="S51" s="1"/>
      <c r="AK51" s="2"/>
    </row>
    <row r="52" spans="3:37" x14ac:dyDescent="0.3">
      <c r="C52" s="204"/>
      <c r="D52" s="204"/>
      <c r="E52" s="204"/>
      <c r="F52" s="204"/>
      <c r="G52" s="204"/>
      <c r="S52" s="1"/>
      <c r="AK52" s="2"/>
    </row>
    <row r="53" spans="3:37" x14ac:dyDescent="0.3">
      <c r="I53" s="175" t="s">
        <v>42</v>
      </c>
      <c r="J53" s="175"/>
      <c r="S53" s="1"/>
      <c r="AK53" s="2"/>
    </row>
    <row r="54" spans="3:37" x14ac:dyDescent="0.3">
      <c r="I54" s="176"/>
      <c r="J54" s="176"/>
      <c r="S54" s="1"/>
      <c r="AK54" s="2"/>
    </row>
    <row r="55" spans="3:37" x14ac:dyDescent="0.3">
      <c r="I55" s="176"/>
      <c r="J55" s="176"/>
      <c r="S55" s="1"/>
      <c r="AK55" s="2"/>
    </row>
    <row r="56" spans="3:37" x14ac:dyDescent="0.3">
      <c r="I56" s="176"/>
      <c r="J56" s="176"/>
      <c r="S56" s="1"/>
      <c r="AK56" s="2"/>
    </row>
    <row r="57" spans="3:37" x14ac:dyDescent="0.3">
      <c r="I57" s="176"/>
      <c r="J57" s="176"/>
      <c r="S57" s="1"/>
      <c r="AK57" s="2"/>
    </row>
    <row r="58" spans="3:37" x14ac:dyDescent="0.3">
      <c r="I58" s="176"/>
      <c r="J58" s="176"/>
      <c r="S58" s="1"/>
      <c r="AK58" s="2"/>
    </row>
    <row r="59" spans="3:37" x14ac:dyDescent="0.3">
      <c r="I59" s="176"/>
      <c r="J59" s="176"/>
      <c r="S59" s="1"/>
      <c r="AK59" s="2"/>
    </row>
    <row r="60" spans="3:37" x14ac:dyDescent="0.3">
      <c r="I60" s="176"/>
      <c r="J60" s="176"/>
      <c r="S60" s="1"/>
      <c r="AK60" s="2"/>
    </row>
    <row r="61" spans="3:37" x14ac:dyDescent="0.3">
      <c r="I61" s="176"/>
      <c r="J61" s="176"/>
      <c r="S61" s="1"/>
      <c r="AK61" s="2"/>
    </row>
    <row r="62" spans="3:37" x14ac:dyDescent="0.3">
      <c r="I62" s="176"/>
      <c r="J62" s="176"/>
      <c r="S62" s="1"/>
      <c r="AK62" s="2"/>
    </row>
    <row r="63" spans="3:37" ht="15" thickBot="1" x14ac:dyDescent="0.35">
      <c r="S63" s="3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5"/>
    </row>
  </sheetData>
  <mergeCells count="18">
    <mergeCell ref="L5:P5"/>
    <mergeCell ref="S29:AK30"/>
    <mergeCell ref="U12:V24"/>
    <mergeCell ref="I53:J53"/>
    <mergeCell ref="I54:J62"/>
    <mergeCell ref="U7:V7"/>
    <mergeCell ref="U8:V8"/>
    <mergeCell ref="T9:W11"/>
    <mergeCell ref="L6:P20"/>
    <mergeCell ref="G36:I36"/>
    <mergeCell ref="G37:G43"/>
    <mergeCell ref="H37:H39"/>
    <mergeCell ref="H41:H43"/>
    <mergeCell ref="I37:I43"/>
    <mergeCell ref="D27:H31"/>
    <mergeCell ref="E22:G26"/>
    <mergeCell ref="C50:G52"/>
    <mergeCell ref="C49:G4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nviarEntradaTeclado">
                <anchor moveWithCells="1" sizeWithCells="1">
                  <from>
                    <xdr:col>2</xdr:col>
                    <xdr:colOff>609600</xdr:colOff>
                    <xdr:row>49</xdr:row>
                    <xdr:rowOff>30480</xdr:rowOff>
                  </from>
                  <to>
                    <xdr:col>6</xdr:col>
                    <xdr:colOff>175260</xdr:colOff>
                    <xdr:row>51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nviarEntradaescaner">
                <anchor moveWithCells="1" sizeWithCells="1">
                  <from>
                    <xdr:col>6</xdr:col>
                    <xdr:colOff>678180</xdr:colOff>
                    <xdr:row>26</xdr:row>
                    <xdr:rowOff>106680</xdr:rowOff>
                  </from>
                  <to>
                    <xdr:col>7</xdr:col>
                    <xdr:colOff>723900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>
                <anchor moveWithCells="1" sizeWithCells="1">
                  <from>
                    <xdr:col>8</xdr:col>
                    <xdr:colOff>53340</xdr:colOff>
                    <xdr:row>53</xdr:row>
                    <xdr:rowOff>45720</xdr:rowOff>
                  </from>
                  <to>
                    <xdr:col>8</xdr:col>
                    <xdr:colOff>784860</xdr:colOff>
                    <xdr:row>61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>
                <anchor moveWithCells="1" sizeWithCells="1">
                  <from>
                    <xdr:col>9</xdr:col>
                    <xdr:colOff>22860</xdr:colOff>
                    <xdr:row>53</xdr:row>
                    <xdr:rowOff>45720</xdr:rowOff>
                  </from>
                  <to>
                    <xdr:col>9</xdr:col>
                    <xdr:colOff>754380</xdr:colOff>
                    <xdr:row>61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otón5_Haga_clic_en">
                <anchor moveWithCells="1" sizeWithCells="1">
                  <from>
                    <xdr:col>6</xdr:col>
                    <xdr:colOff>152400</xdr:colOff>
                    <xdr:row>38</xdr:row>
                    <xdr:rowOff>121920</xdr:rowOff>
                  </from>
                  <to>
                    <xdr:col>6</xdr:col>
                    <xdr:colOff>731520</xdr:colOff>
                    <xdr:row>40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Botón6_Haga_clic_en">
                <anchor moveWithCells="1" sizeWithCells="1">
                  <from>
                    <xdr:col>7</xdr:col>
                    <xdr:colOff>144780</xdr:colOff>
                    <xdr:row>36</xdr:row>
                    <xdr:rowOff>53340</xdr:rowOff>
                  </from>
                  <to>
                    <xdr:col>7</xdr:col>
                    <xdr:colOff>678180</xdr:colOff>
                    <xdr:row>38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Botón5_Haga_clic_en">
                <anchor moveWithCells="1" sizeWithCells="1">
                  <from>
                    <xdr:col>8</xdr:col>
                    <xdr:colOff>99060</xdr:colOff>
                    <xdr:row>38</xdr:row>
                    <xdr:rowOff>129540</xdr:rowOff>
                  </from>
                  <to>
                    <xdr:col>8</xdr:col>
                    <xdr:colOff>678180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Botón6_Haga_clic_en">
                <anchor moveWithCells="1" sizeWithCells="1">
                  <from>
                    <xdr:col>7</xdr:col>
                    <xdr:colOff>144780</xdr:colOff>
                    <xdr:row>40</xdr:row>
                    <xdr:rowOff>53340</xdr:rowOff>
                  </from>
                  <to>
                    <xdr:col>7</xdr:col>
                    <xdr:colOff>678180</xdr:colOff>
                    <xdr:row>42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Simulador_x86</vt:lpstr>
      <vt:lpstr>Entrada y Salida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MARTINEZ SANCHEZ</dc:creator>
  <cp:lastModifiedBy>JORGE MARTINEZ SANCHEZ</cp:lastModifiedBy>
  <cp:lastPrinted>2025-10-04T22:46:30Z</cp:lastPrinted>
  <dcterms:created xsi:type="dcterms:W3CDTF">2025-10-03T21:49:54Z</dcterms:created>
  <dcterms:modified xsi:type="dcterms:W3CDTF">2025-12-18T21:41:02Z</dcterms:modified>
</cp:coreProperties>
</file>