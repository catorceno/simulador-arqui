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MARTINEZ S\Desktop\UCB\2-2025\Arquitectura de Computadoras\"/>
    </mc:Choice>
  </mc:AlternateContent>
  <xr:revisionPtr revIDLastSave="0" documentId="13_ncr:1_{8551CDDD-CF94-4EE1-A779-62A3808D02A6}" xr6:coauthVersionLast="47" xr6:coauthVersionMax="47" xr10:uidLastSave="{00000000-0000-0000-0000-000000000000}"/>
  <bookViews>
    <workbookView xWindow="-108" yWindow="-108" windowWidth="23256" windowHeight="12456" xr2:uid="{65C8B2DC-2200-42C6-BC45-92FAF9D86A59}"/>
  </bookViews>
  <sheets>
    <sheet name="Simulad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6" i="1" l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5" i="1"/>
  <c r="AC3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T5" i="1"/>
  <c r="W56" i="1"/>
  <c r="W57" i="1"/>
  <c r="W58" i="1"/>
  <c r="W59" i="1"/>
  <c r="W60" i="1"/>
  <c r="W61" i="1"/>
  <c r="W62" i="1"/>
  <c r="W63" i="1"/>
  <c r="W64" i="1"/>
  <c r="W65" i="1"/>
  <c r="W66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</calcChain>
</file>

<file path=xl/sharedStrings.xml><?xml version="1.0" encoding="utf-8"?>
<sst xmlns="http://schemas.openxmlformats.org/spreadsheetml/2006/main" count="37" uniqueCount="37">
  <si>
    <t>Registros</t>
  </si>
  <si>
    <t>EAX</t>
  </si>
  <si>
    <t>EBX</t>
  </si>
  <si>
    <t>ECX</t>
  </si>
  <si>
    <t>EDX</t>
  </si>
  <si>
    <t>General</t>
  </si>
  <si>
    <t>ESP</t>
  </si>
  <si>
    <t>EBP</t>
  </si>
  <si>
    <t>ESI</t>
  </si>
  <si>
    <t>EDI</t>
  </si>
  <si>
    <t>EIP</t>
  </si>
  <si>
    <t>Puntero</t>
  </si>
  <si>
    <t>Estado</t>
  </si>
  <si>
    <t>EFLAGS</t>
  </si>
  <si>
    <t>Contador</t>
  </si>
  <si>
    <t>Unidad de Control (UC)</t>
  </si>
  <si>
    <t>IR</t>
  </si>
  <si>
    <t>Reloj</t>
  </si>
  <si>
    <t>Contador de Paso de Control</t>
  </si>
  <si>
    <t>Unidad Aritmetico-Logica (ALU)</t>
  </si>
  <si>
    <t>Registro 1</t>
  </si>
  <si>
    <t>Registro 2</t>
  </si>
  <si>
    <t>Acumulador</t>
  </si>
  <si>
    <t>Registro de Estado</t>
  </si>
  <si>
    <t>Unidad Central de Procesamiento (CPU)</t>
  </si>
  <si>
    <t>Entrada</t>
  </si>
  <si>
    <t>Salida</t>
  </si>
  <si>
    <t>Caché L1</t>
  </si>
  <si>
    <t>Caché L2</t>
  </si>
  <si>
    <t>Operanción Elegida</t>
  </si>
  <si>
    <t>Memoria RAM</t>
  </si>
  <si>
    <t>Memoria Virtual</t>
  </si>
  <si>
    <t>Disco de Almacenamiento (SSD)</t>
  </si>
  <si>
    <t>Memoria Secundaria</t>
  </si>
  <si>
    <t>Memoria Principal</t>
  </si>
  <si>
    <t>mov</t>
  </si>
  <si>
    <t>eax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</si>
</sst>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6DCE4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4" borderId="0" xfId="0" applyFont="1" applyFill="1" applyBorder="1" applyAlignment="1"/>
    <xf numFmtId="0" fontId="0" fillId="4" borderId="0" xfId="0" applyFill="1" applyBorder="1" applyAlignment="1"/>
    <xf numFmtId="0" fontId="0" fillId="0" borderId="0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0" fillId="4" borderId="14" xfId="0" applyFill="1" applyBorder="1"/>
    <xf numFmtId="0" fontId="0" fillId="4" borderId="20" xfId="0" applyFill="1" applyBorder="1"/>
    <xf numFmtId="0" fontId="0" fillId="4" borderId="15" xfId="0" applyFill="1" applyBorder="1"/>
    <xf numFmtId="0" fontId="0" fillId="4" borderId="21" xfId="0" applyFill="1" applyBorder="1"/>
    <xf numFmtId="0" fontId="0" fillId="4" borderId="16" xfId="0" applyFill="1" applyBorder="1"/>
    <xf numFmtId="0" fontId="0" fillId="4" borderId="2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4" fillId="3" borderId="1" xfId="0" applyFont="1" applyFill="1" applyBorder="1" applyAlignment="1">
      <alignment horizontal="center"/>
    </xf>
    <xf numFmtId="0" fontId="0" fillId="4" borderId="23" xfId="0" applyFill="1" applyBorder="1"/>
    <xf numFmtId="0" fontId="0" fillId="4" borderId="24" xfId="0" applyFill="1" applyBorder="1"/>
    <xf numFmtId="0" fontId="0" fillId="4" borderId="26" xfId="0" applyFill="1" applyBorder="1"/>
    <xf numFmtId="0" fontId="2" fillId="0" borderId="0" xfId="0" applyFont="1"/>
    <xf numFmtId="0" fontId="0" fillId="5" borderId="17" xfId="0" applyFont="1" applyFill="1" applyBorder="1" applyAlignment="1">
      <alignment vertical="center"/>
    </xf>
    <xf numFmtId="0" fontId="0" fillId="5" borderId="18" xfId="0" applyFont="1" applyFill="1" applyBorder="1" applyAlignment="1">
      <alignment vertical="center"/>
    </xf>
    <xf numFmtId="0" fontId="0" fillId="5" borderId="19" xfId="0" applyFont="1" applyFill="1" applyBorder="1" applyAlignment="1">
      <alignment vertical="center"/>
    </xf>
    <xf numFmtId="0" fontId="0" fillId="5" borderId="27" xfId="0" applyFill="1" applyBorder="1"/>
    <xf numFmtId="0" fontId="0" fillId="9" borderId="17" xfId="0" applyFill="1" applyBorder="1" applyAlignment="1">
      <alignment horizontal="left" vertical="center"/>
    </xf>
    <xf numFmtId="0" fontId="0" fillId="9" borderId="18" xfId="0" applyFill="1" applyBorder="1" applyAlignment="1">
      <alignment horizontal="left" vertical="center"/>
    </xf>
    <xf numFmtId="0" fontId="0" fillId="9" borderId="19" xfId="0" applyFill="1" applyBorder="1" applyAlignment="1">
      <alignment horizontal="left" vertical="center"/>
    </xf>
    <xf numFmtId="0" fontId="2" fillId="0" borderId="8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1" fillId="4" borderId="14" xfId="0" applyFont="1" applyFill="1" applyBorder="1"/>
    <xf numFmtId="0" fontId="1" fillId="4" borderId="15" xfId="0" applyFont="1" applyFill="1" applyBorder="1"/>
    <xf numFmtId="0" fontId="1" fillId="4" borderId="18" xfId="0" applyFont="1" applyFill="1" applyBorder="1"/>
    <xf numFmtId="0" fontId="1" fillId="0" borderId="18" xfId="0" applyFont="1" applyBorder="1"/>
    <xf numFmtId="0" fontId="1" fillId="4" borderId="25" xfId="0" applyFont="1" applyFill="1" applyBorder="1"/>
    <xf numFmtId="0" fontId="1" fillId="4" borderId="16" xfId="0" applyFont="1" applyFill="1" applyBorder="1"/>
    <xf numFmtId="0" fontId="1" fillId="4" borderId="17" xfId="0" applyFont="1" applyFill="1" applyBorder="1"/>
    <xf numFmtId="0" fontId="1" fillId="4" borderId="19" xfId="0" applyFont="1" applyFill="1" applyBorder="1"/>
    <xf numFmtId="0" fontId="1" fillId="4" borderId="13" xfId="0" applyFont="1" applyFill="1" applyBorder="1"/>
    <xf numFmtId="0" fontId="4" fillId="3" borderId="2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3" fillId="8" borderId="10" xfId="0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0" fillId="11" borderId="17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DCE4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445480</xdr:colOff>
      <xdr:row>24</xdr:row>
      <xdr:rowOff>132860</xdr:rowOff>
    </xdr:from>
    <xdr:to>
      <xdr:col>7</xdr:col>
      <xdr:colOff>410308</xdr:colOff>
      <xdr:row>33</xdr:row>
      <xdr:rowOff>29306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863C1BF-A895-486F-B384-69530FA60F03}"/>
            </a:ext>
          </a:extLst>
        </xdr:cNvPr>
        <xdr:cNvSpPr/>
      </xdr:nvSpPr>
      <xdr:spPr>
        <a:xfrm>
          <a:off x="4402018" y="5134706"/>
          <a:ext cx="1547444" cy="163536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Decodificador/</a:t>
          </a:r>
          <a:r>
            <a:rPr lang="es-ES" sz="1600" baseline="0">
              <a:solidFill>
                <a:schemeClr val="tx1"/>
              </a:solidFill>
            </a:rPr>
            <a:t> Codificador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705340</xdr:colOff>
      <xdr:row>25</xdr:row>
      <xdr:rowOff>21491</xdr:rowOff>
    </xdr:from>
    <xdr:to>
      <xdr:col>9</xdr:col>
      <xdr:colOff>670169</xdr:colOff>
      <xdr:row>28</xdr:row>
      <xdr:rowOff>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8D825AF-0435-43AD-B83C-FCD627924EBE}"/>
            </a:ext>
          </a:extLst>
        </xdr:cNvPr>
        <xdr:cNvSpPr/>
      </xdr:nvSpPr>
      <xdr:spPr>
        <a:xfrm>
          <a:off x="6244494" y="5140568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Banderas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701432</xdr:colOff>
      <xdr:row>29</xdr:row>
      <xdr:rowOff>66430</xdr:rowOff>
    </xdr:from>
    <xdr:to>
      <xdr:col>9</xdr:col>
      <xdr:colOff>666261</xdr:colOff>
      <xdr:row>32</xdr:row>
      <xdr:rowOff>103554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446947F-3A4A-40FA-B378-FA8C2EFDACF3}"/>
            </a:ext>
          </a:extLst>
        </xdr:cNvPr>
        <xdr:cNvSpPr/>
      </xdr:nvSpPr>
      <xdr:spPr>
        <a:xfrm>
          <a:off x="6240586" y="5996353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Codigos</a:t>
          </a:r>
          <a:r>
            <a:rPr lang="es-ES" sz="1400" baseline="0">
              <a:solidFill>
                <a:schemeClr val="tx1"/>
              </a:solidFill>
            </a:rPr>
            <a:t>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156307</xdr:colOff>
      <xdr:row>19</xdr:row>
      <xdr:rowOff>107462</xdr:rowOff>
    </xdr:from>
    <xdr:to>
      <xdr:col>7</xdr:col>
      <xdr:colOff>29306</xdr:colOff>
      <xdr:row>24</xdr:row>
      <xdr:rowOff>87923</xdr:rowOff>
    </xdr:to>
    <xdr:sp macro="" textlink="">
      <xdr:nvSpPr>
        <xdr:cNvPr id="8" name="Flecha: hacia abajo 7">
          <a:extLst>
            <a:ext uri="{FF2B5EF4-FFF2-40B4-BE49-F238E27FC236}">
              <a16:creationId xmlns:a16="http://schemas.microsoft.com/office/drawing/2014/main" id="{298A1912-D483-458F-92A4-5132DA5E40F9}"/>
            </a:ext>
          </a:extLst>
        </xdr:cNvPr>
        <xdr:cNvSpPr/>
      </xdr:nvSpPr>
      <xdr:spPr>
        <a:xfrm>
          <a:off x="4904153" y="4142154"/>
          <a:ext cx="664307" cy="94761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40055</xdr:colOff>
      <xdr:row>17</xdr:row>
      <xdr:rowOff>977</xdr:rowOff>
    </xdr:from>
    <xdr:to>
      <xdr:col>5</xdr:col>
      <xdr:colOff>771773</xdr:colOff>
      <xdr:row>19</xdr:row>
      <xdr:rowOff>9769</xdr:rowOff>
    </xdr:to>
    <xdr:sp macro="" textlink="">
      <xdr:nvSpPr>
        <xdr:cNvPr id="9" name="Flecha: hacia abajo 8">
          <a:extLst>
            <a:ext uri="{FF2B5EF4-FFF2-40B4-BE49-F238E27FC236}">
              <a16:creationId xmlns:a16="http://schemas.microsoft.com/office/drawing/2014/main" id="{5EB6885F-D56B-4A52-8EF0-F2834C607842}"/>
            </a:ext>
          </a:extLst>
        </xdr:cNvPr>
        <xdr:cNvSpPr/>
      </xdr:nvSpPr>
      <xdr:spPr>
        <a:xfrm rot="16200000">
          <a:off x="4143133" y="3459283"/>
          <a:ext cx="438638" cy="731718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463208</xdr:colOff>
      <xdr:row>25</xdr:row>
      <xdr:rowOff>28164</xdr:rowOff>
    </xdr:from>
    <xdr:to>
      <xdr:col>7</xdr:col>
      <xdr:colOff>647055</xdr:colOff>
      <xdr:row>28</xdr:row>
      <xdr:rowOff>81165</xdr:rowOff>
    </xdr:to>
    <xdr:sp macro="" textlink="">
      <xdr:nvSpPr>
        <xdr:cNvPr id="10" name="Flecha: hacia abajo 9">
          <a:extLst>
            <a:ext uri="{FF2B5EF4-FFF2-40B4-BE49-F238E27FC236}">
              <a16:creationId xmlns:a16="http://schemas.microsoft.com/office/drawing/2014/main" id="{2AA8F5BD-CC30-4F57-8E36-158C54CC9BAA}"/>
            </a:ext>
          </a:extLst>
        </xdr:cNvPr>
        <xdr:cNvSpPr/>
      </xdr:nvSpPr>
      <xdr:spPr>
        <a:xfrm rot="5400000">
          <a:off x="5781567" y="5466975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461586</xdr:colOff>
      <xdr:row>29</xdr:row>
      <xdr:rowOff>18436</xdr:rowOff>
    </xdr:from>
    <xdr:to>
      <xdr:col>7</xdr:col>
      <xdr:colOff>645433</xdr:colOff>
      <xdr:row>32</xdr:row>
      <xdr:rowOff>128183</xdr:rowOff>
    </xdr:to>
    <xdr:sp macro="" textlink="">
      <xdr:nvSpPr>
        <xdr:cNvPr id="11" name="Flecha: hacia abajo 10">
          <a:extLst>
            <a:ext uri="{FF2B5EF4-FFF2-40B4-BE49-F238E27FC236}">
              <a16:creationId xmlns:a16="http://schemas.microsoft.com/office/drawing/2014/main" id="{D1DDE7EB-C7FA-423B-B823-342C4558E61C}"/>
            </a:ext>
          </a:extLst>
        </xdr:cNvPr>
        <xdr:cNvSpPr/>
      </xdr:nvSpPr>
      <xdr:spPr>
        <a:xfrm rot="5400000">
          <a:off x="5779945" y="6267886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40533</xdr:colOff>
      <xdr:row>26</xdr:row>
      <xdr:rowOff>89169</xdr:rowOff>
    </xdr:from>
    <xdr:to>
      <xdr:col>5</xdr:col>
      <xdr:colOff>421533</xdr:colOff>
      <xdr:row>29</xdr:row>
      <xdr:rowOff>134064</xdr:rowOff>
    </xdr:to>
    <xdr:sp macro="" textlink="">
      <xdr:nvSpPr>
        <xdr:cNvPr id="12" name="Flecha: hacia abajo 11">
          <a:extLst>
            <a:ext uri="{FF2B5EF4-FFF2-40B4-BE49-F238E27FC236}">
              <a16:creationId xmlns:a16="http://schemas.microsoft.com/office/drawing/2014/main" id="{B83E5B77-FD0E-4266-8E27-88D94568166F}"/>
            </a:ext>
          </a:extLst>
        </xdr:cNvPr>
        <xdr:cNvSpPr/>
      </xdr:nvSpPr>
      <xdr:spPr>
        <a:xfrm rot="16200000">
          <a:off x="3868617" y="5615851"/>
          <a:ext cx="669087" cy="3810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405319</xdr:colOff>
      <xdr:row>33</xdr:row>
      <xdr:rowOff>72957</xdr:rowOff>
    </xdr:from>
    <xdr:to>
      <xdr:col>10</xdr:col>
      <xdr:colOff>359229</xdr:colOff>
      <xdr:row>42</xdr:row>
      <xdr:rowOff>81065</xdr:rowOff>
    </xdr:to>
    <xdr:sp macro="" textlink="">
      <xdr:nvSpPr>
        <xdr:cNvPr id="27" name="Forma en L 26">
          <a:extLst>
            <a:ext uri="{FF2B5EF4-FFF2-40B4-BE49-F238E27FC236}">
              <a16:creationId xmlns:a16="http://schemas.microsoft.com/office/drawing/2014/main" id="{E29A80BD-4974-4833-A30B-0EDB18FCCF25}"/>
            </a:ext>
          </a:extLst>
        </xdr:cNvPr>
        <xdr:cNvSpPr/>
      </xdr:nvSpPr>
      <xdr:spPr>
        <a:xfrm>
          <a:off x="5143574" y="6792412"/>
          <a:ext cx="3112746" cy="1809198"/>
        </a:xfrm>
        <a:prstGeom prst="corner">
          <a:avLst>
            <a:gd name="adj1" fmla="val 9508"/>
            <a:gd name="adj2" fmla="val 1224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737666</xdr:colOff>
      <xdr:row>20</xdr:row>
      <xdr:rowOff>77266</xdr:rowOff>
    </xdr:from>
    <xdr:to>
      <xdr:col>16</xdr:col>
      <xdr:colOff>111014</xdr:colOff>
      <xdr:row>27</xdr:row>
      <xdr:rowOff>115454</xdr:rowOff>
    </xdr:to>
    <xdr:sp macro="" textlink="">
      <xdr:nvSpPr>
        <xdr:cNvPr id="28" name="Diagrama de flujo: operación manual 27">
          <a:extLst>
            <a:ext uri="{FF2B5EF4-FFF2-40B4-BE49-F238E27FC236}">
              <a16:creationId xmlns:a16="http://schemas.microsoft.com/office/drawing/2014/main" id="{68E3A6BB-FA72-4BF2-8794-53A5CE8FDD04}"/>
            </a:ext>
          </a:extLst>
        </xdr:cNvPr>
        <xdr:cNvSpPr/>
      </xdr:nvSpPr>
      <xdr:spPr>
        <a:xfrm>
          <a:off x="9500666" y="4337539"/>
          <a:ext cx="3356530" cy="1389006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0000"/>
            <a:gd name="connsiteY0" fmla="*/ 0 h 10000"/>
            <a:gd name="connsiteX1" fmla="*/ 5205 w 10000"/>
            <a:gd name="connsiteY1" fmla="*/ 5087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2000 w 10000"/>
            <a:gd name="connsiteY4" fmla="*/ 10000 h 10000"/>
            <a:gd name="connsiteX5" fmla="*/ 0 w 10000"/>
            <a:gd name="connsiteY5" fmla="*/ 0 h 10000"/>
            <a:gd name="connsiteX0" fmla="*/ 0 w 10000"/>
            <a:gd name="connsiteY0" fmla="*/ 712 h 10712"/>
            <a:gd name="connsiteX1" fmla="*/ 3566 w 10000"/>
            <a:gd name="connsiteY1" fmla="*/ 943 h 10712"/>
            <a:gd name="connsiteX2" fmla="*/ 5205 w 10000"/>
            <a:gd name="connsiteY2" fmla="*/ 5799 h 10712"/>
            <a:gd name="connsiteX3" fmla="*/ 10000 w 10000"/>
            <a:gd name="connsiteY3" fmla="*/ 712 h 10712"/>
            <a:gd name="connsiteX4" fmla="*/ 8000 w 10000"/>
            <a:gd name="connsiteY4" fmla="*/ 10712 h 10712"/>
            <a:gd name="connsiteX5" fmla="*/ 2000 w 10000"/>
            <a:gd name="connsiteY5" fmla="*/ 10712 h 10712"/>
            <a:gd name="connsiteX6" fmla="*/ 0 w 10000"/>
            <a:gd name="connsiteY6" fmla="*/ 712 h 10712"/>
            <a:gd name="connsiteX0" fmla="*/ 0 w 10000"/>
            <a:gd name="connsiteY0" fmla="*/ 566 h 10566"/>
            <a:gd name="connsiteX1" fmla="*/ 3566 w 10000"/>
            <a:gd name="connsiteY1" fmla="*/ 797 h 10566"/>
            <a:gd name="connsiteX2" fmla="*/ 5205 w 10000"/>
            <a:gd name="connsiteY2" fmla="*/ 5653 h 10566"/>
            <a:gd name="connsiteX3" fmla="*/ 10000 w 10000"/>
            <a:gd name="connsiteY3" fmla="*/ 566 h 10566"/>
            <a:gd name="connsiteX4" fmla="*/ 8000 w 10000"/>
            <a:gd name="connsiteY4" fmla="*/ 10566 h 10566"/>
            <a:gd name="connsiteX5" fmla="*/ 2000 w 10000"/>
            <a:gd name="connsiteY5" fmla="*/ 10566 h 10566"/>
            <a:gd name="connsiteX6" fmla="*/ 0 w 10000"/>
            <a:gd name="connsiteY6" fmla="*/ 566 h 10566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5 w 10005"/>
            <a:gd name="connsiteY0" fmla="*/ 200 h 10200"/>
            <a:gd name="connsiteX1" fmla="*/ 1726 w 10005"/>
            <a:gd name="connsiteY1" fmla="*/ 373 h 10200"/>
            <a:gd name="connsiteX2" fmla="*/ 3571 w 10005"/>
            <a:gd name="connsiteY2" fmla="*/ 431 h 10200"/>
            <a:gd name="connsiteX3" fmla="*/ 5210 w 10005"/>
            <a:gd name="connsiteY3" fmla="*/ 5287 h 10200"/>
            <a:gd name="connsiteX4" fmla="*/ 10005 w 10005"/>
            <a:gd name="connsiteY4" fmla="*/ 200 h 10200"/>
            <a:gd name="connsiteX5" fmla="*/ 8005 w 10005"/>
            <a:gd name="connsiteY5" fmla="*/ 10200 h 10200"/>
            <a:gd name="connsiteX6" fmla="*/ 2005 w 10005"/>
            <a:gd name="connsiteY6" fmla="*/ 10200 h 10200"/>
            <a:gd name="connsiteX7" fmla="*/ 5 w 10005"/>
            <a:gd name="connsiteY7" fmla="*/ 200 h 102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182 h 10182"/>
            <a:gd name="connsiteX1" fmla="*/ 1726 w 10005"/>
            <a:gd name="connsiteY1" fmla="*/ 355 h 10182"/>
            <a:gd name="connsiteX2" fmla="*/ 3607 w 10005"/>
            <a:gd name="connsiteY2" fmla="*/ 330 h 10182"/>
            <a:gd name="connsiteX3" fmla="*/ 5210 w 10005"/>
            <a:gd name="connsiteY3" fmla="*/ 5269 h 10182"/>
            <a:gd name="connsiteX4" fmla="*/ 10005 w 10005"/>
            <a:gd name="connsiteY4" fmla="*/ 182 h 10182"/>
            <a:gd name="connsiteX5" fmla="*/ 8005 w 10005"/>
            <a:gd name="connsiteY5" fmla="*/ 10182 h 10182"/>
            <a:gd name="connsiteX6" fmla="*/ 2005 w 10005"/>
            <a:gd name="connsiteY6" fmla="*/ 10182 h 10182"/>
            <a:gd name="connsiteX7" fmla="*/ 5 w 10005"/>
            <a:gd name="connsiteY7" fmla="*/ 182 h 10182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14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558 h 10558"/>
            <a:gd name="connsiteX1" fmla="*/ 1746 w 10025"/>
            <a:gd name="connsiteY1" fmla="*/ 662 h 10558"/>
            <a:gd name="connsiteX2" fmla="*/ 3627 w 10025"/>
            <a:gd name="connsiteY2" fmla="*/ 637 h 10558"/>
            <a:gd name="connsiteX3" fmla="*/ 5242 w 10025"/>
            <a:gd name="connsiteY3" fmla="*/ 5645 h 10558"/>
            <a:gd name="connsiteX4" fmla="*/ 6531 w 10025"/>
            <a:gd name="connsiteY4" fmla="*/ 1204 h 10558"/>
            <a:gd name="connsiteX5" fmla="*/ 10025 w 10025"/>
            <a:gd name="connsiteY5" fmla="*/ 558 h 10558"/>
            <a:gd name="connsiteX6" fmla="*/ 8025 w 10025"/>
            <a:gd name="connsiteY6" fmla="*/ 10558 h 10558"/>
            <a:gd name="connsiteX7" fmla="*/ 2025 w 10025"/>
            <a:gd name="connsiteY7" fmla="*/ 10558 h 10558"/>
            <a:gd name="connsiteX8" fmla="*/ 25 w 10025"/>
            <a:gd name="connsiteY8" fmla="*/ 558 h 10558"/>
            <a:gd name="connsiteX0" fmla="*/ 25 w 9977"/>
            <a:gd name="connsiteY0" fmla="*/ 256 h 10256"/>
            <a:gd name="connsiteX1" fmla="*/ 1746 w 9977"/>
            <a:gd name="connsiteY1" fmla="*/ 360 h 10256"/>
            <a:gd name="connsiteX2" fmla="*/ 3627 w 9977"/>
            <a:gd name="connsiteY2" fmla="*/ 335 h 10256"/>
            <a:gd name="connsiteX3" fmla="*/ 5242 w 9977"/>
            <a:gd name="connsiteY3" fmla="*/ 5343 h 10256"/>
            <a:gd name="connsiteX4" fmla="*/ 6531 w 9977"/>
            <a:gd name="connsiteY4" fmla="*/ 902 h 10256"/>
            <a:gd name="connsiteX5" fmla="*/ 9977 w 9977"/>
            <a:gd name="connsiteY5" fmla="*/ 652 h 10256"/>
            <a:gd name="connsiteX6" fmla="*/ 8025 w 9977"/>
            <a:gd name="connsiteY6" fmla="*/ 10256 h 10256"/>
            <a:gd name="connsiteX7" fmla="*/ 2025 w 9977"/>
            <a:gd name="connsiteY7" fmla="*/ 10256 h 10256"/>
            <a:gd name="connsiteX8" fmla="*/ 25 w 9977"/>
            <a:gd name="connsiteY8" fmla="*/ 256 h 10256"/>
            <a:gd name="connsiteX0" fmla="*/ 25 w 10003"/>
            <a:gd name="connsiteY0" fmla="*/ 0 h 9750"/>
            <a:gd name="connsiteX1" fmla="*/ 1750 w 10003"/>
            <a:gd name="connsiteY1" fmla="*/ 101 h 9750"/>
            <a:gd name="connsiteX2" fmla="*/ 3635 w 10003"/>
            <a:gd name="connsiteY2" fmla="*/ 77 h 9750"/>
            <a:gd name="connsiteX3" fmla="*/ 5254 w 10003"/>
            <a:gd name="connsiteY3" fmla="*/ 4960 h 9750"/>
            <a:gd name="connsiteX4" fmla="*/ 6546 w 10003"/>
            <a:gd name="connsiteY4" fmla="*/ 629 h 9750"/>
            <a:gd name="connsiteX5" fmla="*/ 10000 w 10003"/>
            <a:gd name="connsiteY5" fmla="*/ 386 h 9750"/>
            <a:gd name="connsiteX6" fmla="*/ 8044 w 10003"/>
            <a:gd name="connsiteY6" fmla="*/ 9750 h 9750"/>
            <a:gd name="connsiteX7" fmla="*/ 2030 w 10003"/>
            <a:gd name="connsiteY7" fmla="*/ 9750 h 9750"/>
            <a:gd name="connsiteX8" fmla="*/ 25 w 10003"/>
            <a:gd name="connsiteY8" fmla="*/ 0 h 9750"/>
            <a:gd name="connsiteX0" fmla="*/ 25 w 9999"/>
            <a:gd name="connsiteY0" fmla="*/ 0 h 10000"/>
            <a:gd name="connsiteX1" fmla="*/ 1749 w 9999"/>
            <a:gd name="connsiteY1" fmla="*/ 104 h 10000"/>
            <a:gd name="connsiteX2" fmla="*/ 3634 w 9999"/>
            <a:gd name="connsiteY2" fmla="*/ 79 h 10000"/>
            <a:gd name="connsiteX3" fmla="*/ 5252 w 9999"/>
            <a:gd name="connsiteY3" fmla="*/ 5087 h 10000"/>
            <a:gd name="connsiteX4" fmla="*/ 6411 w 9999"/>
            <a:gd name="connsiteY4" fmla="*/ 267 h 10000"/>
            <a:gd name="connsiteX5" fmla="*/ 9997 w 9999"/>
            <a:gd name="connsiteY5" fmla="*/ 396 h 10000"/>
            <a:gd name="connsiteX6" fmla="*/ 8042 w 9999"/>
            <a:gd name="connsiteY6" fmla="*/ 10000 h 10000"/>
            <a:gd name="connsiteX7" fmla="*/ 2029 w 9999"/>
            <a:gd name="connsiteY7" fmla="*/ 10000 h 10000"/>
            <a:gd name="connsiteX8" fmla="*/ 25 w 9999"/>
            <a:gd name="connsiteY8" fmla="*/ 0 h 10000"/>
            <a:gd name="connsiteX0" fmla="*/ 25 w 10000"/>
            <a:gd name="connsiteY0" fmla="*/ 0 h 10000"/>
            <a:gd name="connsiteX1" fmla="*/ 1749 w 10000"/>
            <a:gd name="connsiteY1" fmla="*/ 104 h 10000"/>
            <a:gd name="connsiteX2" fmla="*/ 3634 w 10000"/>
            <a:gd name="connsiteY2" fmla="*/ 79 h 10000"/>
            <a:gd name="connsiteX3" fmla="*/ 5253 w 10000"/>
            <a:gd name="connsiteY3" fmla="*/ 5087 h 10000"/>
            <a:gd name="connsiteX4" fmla="*/ 6412 w 10000"/>
            <a:gd name="connsiteY4" fmla="*/ 267 h 10000"/>
            <a:gd name="connsiteX5" fmla="*/ 9998 w 10000"/>
            <a:gd name="connsiteY5" fmla="*/ 241 h 10000"/>
            <a:gd name="connsiteX6" fmla="*/ 8043 w 10000"/>
            <a:gd name="connsiteY6" fmla="*/ 10000 h 10000"/>
            <a:gd name="connsiteX7" fmla="*/ 2029 w 10000"/>
            <a:gd name="connsiteY7" fmla="*/ 10000 h 10000"/>
            <a:gd name="connsiteX8" fmla="*/ 25 w 10000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002" h="10000">
              <a:moveTo>
                <a:pt x="25" y="0"/>
              </a:moveTo>
              <a:cubicBezTo>
                <a:pt x="-76" y="134"/>
                <a:pt x="57" y="32"/>
                <a:pt x="1749" y="104"/>
              </a:cubicBezTo>
              <a:lnTo>
                <a:pt x="3634" y="79"/>
              </a:lnTo>
              <a:cubicBezTo>
                <a:pt x="5284" y="5046"/>
                <a:pt x="3674" y="82"/>
                <a:pt x="5253" y="5087"/>
              </a:cubicBezTo>
              <a:cubicBezTo>
                <a:pt x="6447" y="189"/>
                <a:pt x="5276" y="5105"/>
                <a:pt x="6412" y="267"/>
              </a:cubicBezTo>
              <a:cubicBezTo>
                <a:pt x="10032" y="210"/>
                <a:pt x="10024" y="154"/>
                <a:pt x="9998" y="241"/>
              </a:cubicBezTo>
              <a:lnTo>
                <a:pt x="8043" y="10000"/>
              </a:lnTo>
              <a:lnTo>
                <a:pt x="2029" y="10000"/>
              </a:lnTo>
              <a:lnTo>
                <a:pt x="25" y="0"/>
              </a:lnTo>
              <a:close/>
            </a:path>
          </a:pathLst>
        </a:cu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100"/>
        </a:p>
        <a:p>
          <a:pPr algn="ctr"/>
          <a:endParaRPr lang="es-ES" sz="1100"/>
        </a:p>
        <a:p>
          <a:pPr algn="ctr"/>
          <a:r>
            <a:rPr lang="es-ES" sz="1400">
              <a:solidFill>
                <a:schemeClr val="tx1"/>
              </a:solidFill>
            </a:rPr>
            <a:t>Selector de Operaciones</a:t>
          </a:r>
        </a:p>
      </xdr:txBody>
    </xdr:sp>
    <xdr:clientData/>
  </xdr:twoCellAnchor>
  <xdr:twoCellAnchor>
    <xdr:from>
      <xdr:col>13</xdr:col>
      <xdr:colOff>539793</xdr:colOff>
      <xdr:row>30</xdr:row>
      <xdr:rowOff>103909</xdr:rowOff>
    </xdr:from>
    <xdr:to>
      <xdr:col>14</xdr:col>
      <xdr:colOff>219364</xdr:colOff>
      <xdr:row>33</xdr:row>
      <xdr:rowOff>123803</xdr:rowOff>
    </xdr:to>
    <xdr:sp macro="" textlink="">
      <xdr:nvSpPr>
        <xdr:cNvPr id="29" name="Flecha: hacia abajo 28">
          <a:extLst>
            <a:ext uri="{FF2B5EF4-FFF2-40B4-BE49-F238E27FC236}">
              <a16:creationId xmlns:a16="http://schemas.microsoft.com/office/drawing/2014/main" id="{240F000D-71C7-4718-85CE-0114EB140F1F}"/>
            </a:ext>
          </a:extLst>
        </xdr:cNvPr>
        <xdr:cNvSpPr/>
      </xdr:nvSpPr>
      <xdr:spPr>
        <a:xfrm>
          <a:off x="10896066" y="6326909"/>
          <a:ext cx="476207" cy="574076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152400</xdr:colOff>
      <xdr:row>15</xdr:row>
      <xdr:rowOff>70341</xdr:rowOff>
    </xdr:from>
    <xdr:to>
      <xdr:col>15</xdr:col>
      <xdr:colOff>413656</xdr:colOff>
      <xdr:row>41</xdr:row>
      <xdr:rowOff>166488</xdr:rowOff>
    </xdr:to>
    <xdr:sp macro="" textlink="">
      <xdr:nvSpPr>
        <xdr:cNvPr id="30" name="Forma en L 29">
          <a:extLst>
            <a:ext uri="{FF2B5EF4-FFF2-40B4-BE49-F238E27FC236}">
              <a16:creationId xmlns:a16="http://schemas.microsoft.com/office/drawing/2014/main" id="{5C211E13-98FA-4C0E-840F-9CDBDCC09C15}"/>
            </a:ext>
          </a:extLst>
        </xdr:cNvPr>
        <xdr:cNvSpPr/>
      </xdr:nvSpPr>
      <xdr:spPr>
        <a:xfrm rot="5400000">
          <a:off x="7570005" y="3800988"/>
          <a:ext cx="5276466" cy="4231340"/>
        </a:xfrm>
        <a:prstGeom prst="corner">
          <a:avLst>
            <a:gd name="adj1" fmla="val 4831"/>
            <a:gd name="adj2" fmla="val 4047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234462</xdr:colOff>
      <xdr:row>15</xdr:row>
      <xdr:rowOff>70339</xdr:rowOff>
    </xdr:from>
    <xdr:to>
      <xdr:col>12</xdr:col>
      <xdr:colOff>492370</xdr:colOff>
      <xdr:row>17</xdr:row>
      <xdr:rowOff>181239</xdr:rowOff>
    </xdr:to>
    <xdr:sp macro="" textlink="">
      <xdr:nvSpPr>
        <xdr:cNvPr id="31" name="Flecha: hacia abajo 30">
          <a:extLst>
            <a:ext uri="{FF2B5EF4-FFF2-40B4-BE49-F238E27FC236}">
              <a16:creationId xmlns:a16="http://schemas.microsoft.com/office/drawing/2014/main" id="{33BCD358-EDE1-444E-9FAF-0495B1211BB7}"/>
            </a:ext>
          </a:extLst>
        </xdr:cNvPr>
        <xdr:cNvSpPr/>
      </xdr:nvSpPr>
      <xdr:spPr>
        <a:xfrm>
          <a:off x="9710971" y="3270739"/>
          <a:ext cx="257908" cy="48497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269632</xdr:colOff>
      <xdr:row>15</xdr:row>
      <xdr:rowOff>69624</xdr:rowOff>
    </xdr:from>
    <xdr:to>
      <xdr:col>15</xdr:col>
      <xdr:colOff>539262</xdr:colOff>
      <xdr:row>17</xdr:row>
      <xdr:rowOff>172891</xdr:rowOff>
    </xdr:to>
    <xdr:sp macro="" textlink="">
      <xdr:nvSpPr>
        <xdr:cNvPr id="33" name="Flecha: hacia abajo 32">
          <a:extLst>
            <a:ext uri="{FF2B5EF4-FFF2-40B4-BE49-F238E27FC236}">
              <a16:creationId xmlns:a16="http://schemas.microsoft.com/office/drawing/2014/main" id="{C7763F6E-B4FA-45B6-B168-B0B3FF44229A}"/>
            </a:ext>
          </a:extLst>
        </xdr:cNvPr>
        <xdr:cNvSpPr/>
      </xdr:nvSpPr>
      <xdr:spPr>
        <a:xfrm>
          <a:off x="12179884" y="3277708"/>
          <a:ext cx="269630" cy="481065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323069</xdr:colOff>
      <xdr:row>23</xdr:row>
      <xdr:rowOff>150593</xdr:rowOff>
    </xdr:from>
    <xdr:to>
      <xdr:col>12</xdr:col>
      <xdr:colOff>222738</xdr:colOff>
      <xdr:row>39</xdr:row>
      <xdr:rowOff>144358</xdr:rowOff>
    </xdr:to>
    <xdr:sp macro="" textlink="">
      <xdr:nvSpPr>
        <xdr:cNvPr id="35" name="Forma en L 34">
          <a:extLst>
            <a:ext uri="{FF2B5EF4-FFF2-40B4-BE49-F238E27FC236}">
              <a16:creationId xmlns:a16="http://schemas.microsoft.com/office/drawing/2014/main" id="{F9F308EA-E1CE-44FE-8BD2-5CFB064A82F1}"/>
            </a:ext>
          </a:extLst>
        </xdr:cNvPr>
        <xdr:cNvSpPr/>
      </xdr:nvSpPr>
      <xdr:spPr>
        <a:xfrm rot="5400000">
          <a:off x="7864049" y="6155095"/>
          <a:ext cx="3079066" cy="693641"/>
        </a:xfrm>
        <a:prstGeom prst="corner">
          <a:avLst>
            <a:gd name="adj1" fmla="val 24104"/>
            <a:gd name="adj2" fmla="val 22669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339695</xdr:colOff>
      <xdr:row>38</xdr:row>
      <xdr:rowOff>102318</xdr:rowOff>
    </xdr:from>
    <xdr:to>
      <xdr:col>12</xdr:col>
      <xdr:colOff>646742</xdr:colOff>
      <xdr:row>40</xdr:row>
      <xdr:rowOff>53738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291D52B2-71D2-48A4-9052-31082F9F651D}"/>
            </a:ext>
          </a:extLst>
        </xdr:cNvPr>
        <xdr:cNvSpPr/>
      </xdr:nvSpPr>
      <xdr:spPr>
        <a:xfrm rot="16200000">
          <a:off x="9434189" y="7515690"/>
          <a:ext cx="380445" cy="110106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428426</xdr:colOff>
      <xdr:row>11</xdr:row>
      <xdr:rowOff>41563</xdr:rowOff>
    </xdr:from>
    <xdr:to>
      <xdr:col>7</xdr:col>
      <xdr:colOff>498763</xdr:colOff>
      <xdr:row>12</xdr:row>
      <xdr:rowOff>125820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C6A48E52-25B7-4AA2-B47F-B5BEDDD3ED01}"/>
            </a:ext>
          </a:extLst>
        </xdr:cNvPr>
        <xdr:cNvSpPr/>
      </xdr:nvSpPr>
      <xdr:spPr>
        <a:xfrm>
          <a:off x="4376971" y="2452254"/>
          <a:ext cx="1649756" cy="264366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318654</xdr:colOff>
      <xdr:row>8</xdr:row>
      <xdr:rowOff>27709</xdr:rowOff>
    </xdr:from>
    <xdr:to>
      <xdr:col>3</xdr:col>
      <xdr:colOff>762000</xdr:colOff>
      <xdr:row>84</xdr:row>
      <xdr:rowOff>92363</xdr:rowOff>
    </xdr:to>
    <xdr:sp macro="" textlink="">
      <xdr:nvSpPr>
        <xdr:cNvPr id="38" name="Forma en L 37">
          <a:extLst>
            <a:ext uri="{FF2B5EF4-FFF2-40B4-BE49-F238E27FC236}">
              <a16:creationId xmlns:a16="http://schemas.microsoft.com/office/drawing/2014/main" id="{2CDAE660-66A2-4473-96F0-A82CF1484C7D}"/>
            </a:ext>
          </a:extLst>
        </xdr:cNvPr>
        <xdr:cNvSpPr/>
      </xdr:nvSpPr>
      <xdr:spPr>
        <a:xfrm>
          <a:off x="318654" y="1874982"/>
          <a:ext cx="2833255" cy="14588836"/>
        </a:xfrm>
        <a:prstGeom prst="corner">
          <a:avLst>
            <a:gd name="adj1" fmla="val 9508"/>
            <a:gd name="adj2" fmla="val 1224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318654</xdr:colOff>
      <xdr:row>3</xdr:row>
      <xdr:rowOff>32</xdr:rowOff>
    </xdr:from>
    <xdr:to>
      <xdr:col>2</xdr:col>
      <xdr:colOff>761999</xdr:colOff>
      <xdr:row>11</xdr:row>
      <xdr:rowOff>28806</xdr:rowOff>
    </xdr:to>
    <xdr:sp macro="" textlink="">
      <xdr:nvSpPr>
        <xdr:cNvPr id="39" name="Flecha: hacia abajo 38">
          <a:extLst>
            <a:ext uri="{FF2B5EF4-FFF2-40B4-BE49-F238E27FC236}">
              <a16:creationId xmlns:a16="http://schemas.microsoft.com/office/drawing/2014/main" id="{C91760BA-C96D-4A42-8CD6-B3462CE25BDF}"/>
            </a:ext>
          </a:extLst>
        </xdr:cNvPr>
        <xdr:cNvSpPr/>
      </xdr:nvSpPr>
      <xdr:spPr>
        <a:xfrm rot="16200000">
          <a:off x="505158" y="603237"/>
          <a:ext cx="1649756" cy="202276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184727</xdr:colOff>
      <xdr:row>5</xdr:row>
      <xdr:rowOff>57761</xdr:rowOff>
    </xdr:from>
    <xdr:to>
      <xdr:col>18</xdr:col>
      <xdr:colOff>554180</xdr:colOff>
      <xdr:row>9</xdr:row>
      <xdr:rowOff>103909</xdr:rowOff>
    </xdr:to>
    <xdr:sp macro="" textlink="">
      <xdr:nvSpPr>
        <xdr:cNvPr id="42" name="Flecha: hacia abajo 41">
          <a:extLst>
            <a:ext uri="{FF2B5EF4-FFF2-40B4-BE49-F238E27FC236}">
              <a16:creationId xmlns:a16="http://schemas.microsoft.com/office/drawing/2014/main" id="{DF48DC31-EC86-491E-B4CC-7852E11A84A4}"/>
            </a:ext>
          </a:extLst>
        </xdr:cNvPr>
        <xdr:cNvSpPr/>
      </xdr:nvSpPr>
      <xdr:spPr>
        <a:xfrm rot="16200000">
          <a:off x="13086789" y="329062"/>
          <a:ext cx="854330" cy="275936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92363</xdr:colOff>
      <xdr:row>18</xdr:row>
      <xdr:rowOff>207817</xdr:rowOff>
    </xdr:from>
    <xdr:to>
      <xdr:col>21</xdr:col>
      <xdr:colOff>692727</xdr:colOff>
      <xdr:row>23</xdr:row>
      <xdr:rowOff>80818</xdr:rowOff>
    </xdr:to>
    <xdr:sp macro="" textlink="">
      <xdr:nvSpPr>
        <xdr:cNvPr id="43" name="Flecha: a la izquierda y derecha 42">
          <a:extLst>
            <a:ext uri="{FF2B5EF4-FFF2-40B4-BE49-F238E27FC236}">
              <a16:creationId xmlns:a16="http://schemas.microsoft.com/office/drawing/2014/main" id="{A68B2695-D205-4F47-A095-6A33B1444ED4}"/>
            </a:ext>
          </a:extLst>
        </xdr:cNvPr>
        <xdr:cNvSpPr/>
      </xdr:nvSpPr>
      <xdr:spPr>
        <a:xfrm>
          <a:off x="16821727" y="4040908"/>
          <a:ext cx="600364" cy="900546"/>
        </a:xfrm>
        <a:prstGeom prst="leftRightArrow">
          <a:avLst>
            <a:gd name="adj1" fmla="val 29294"/>
            <a:gd name="adj2" fmla="val 2288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25</xdr:col>
      <xdr:colOff>69274</xdr:colOff>
      <xdr:row>19</xdr:row>
      <xdr:rowOff>69272</xdr:rowOff>
    </xdr:from>
    <xdr:to>
      <xdr:col>26</xdr:col>
      <xdr:colOff>727364</xdr:colOff>
      <xdr:row>38</xdr:row>
      <xdr:rowOff>207819</xdr:rowOff>
    </xdr:to>
    <xdr:sp macro="" textlink="">
      <xdr:nvSpPr>
        <xdr:cNvPr id="45" name="Flecha: a la izquierda y derecha 44">
          <a:extLst>
            <a:ext uri="{FF2B5EF4-FFF2-40B4-BE49-F238E27FC236}">
              <a16:creationId xmlns:a16="http://schemas.microsoft.com/office/drawing/2014/main" id="{5E3C7F8A-6DC2-490D-A0BA-7BAF861DD50D}"/>
            </a:ext>
          </a:extLst>
        </xdr:cNvPr>
        <xdr:cNvSpPr/>
      </xdr:nvSpPr>
      <xdr:spPr>
        <a:xfrm>
          <a:off x="19985183" y="4341090"/>
          <a:ext cx="1454726" cy="3902365"/>
        </a:xfrm>
        <a:prstGeom prst="leftRightArrow">
          <a:avLst>
            <a:gd name="adj1" fmla="val 28935"/>
            <a:gd name="adj2" fmla="val 2988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464128</xdr:colOff>
      <xdr:row>19</xdr:row>
      <xdr:rowOff>36945</xdr:rowOff>
    </xdr:from>
    <xdr:to>
      <xdr:col>32</xdr:col>
      <xdr:colOff>325581</xdr:colOff>
      <xdr:row>38</xdr:row>
      <xdr:rowOff>175492</xdr:rowOff>
    </xdr:to>
    <xdr:sp macro="" textlink="">
      <xdr:nvSpPr>
        <xdr:cNvPr id="46" name="Flecha: a la izquierda y derecha 45">
          <a:extLst>
            <a:ext uri="{FF2B5EF4-FFF2-40B4-BE49-F238E27FC236}">
              <a16:creationId xmlns:a16="http://schemas.microsoft.com/office/drawing/2014/main" id="{C845A89D-8152-4E35-93EF-5A39F3B301C7}"/>
            </a:ext>
          </a:extLst>
        </xdr:cNvPr>
        <xdr:cNvSpPr/>
      </xdr:nvSpPr>
      <xdr:spPr>
        <a:xfrm>
          <a:off x="24801946" y="4308763"/>
          <a:ext cx="1454726" cy="3902365"/>
        </a:xfrm>
        <a:prstGeom prst="leftRightArrow">
          <a:avLst>
            <a:gd name="adj1" fmla="val 28935"/>
            <a:gd name="adj2" fmla="val 2988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173182</xdr:colOff>
      <xdr:row>80</xdr:row>
      <xdr:rowOff>161636</xdr:rowOff>
    </xdr:from>
    <xdr:to>
      <xdr:col>23</xdr:col>
      <xdr:colOff>461819</xdr:colOff>
      <xdr:row>93</xdr:row>
      <xdr:rowOff>69273</xdr:rowOff>
    </xdr:to>
    <xdr:sp macro="[0]!Ejecut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64035B2-70FE-4481-B5CA-609D900DEEC4}"/>
            </a:ext>
          </a:extLst>
        </xdr:cNvPr>
        <xdr:cNvSpPr/>
      </xdr:nvSpPr>
      <xdr:spPr>
        <a:xfrm>
          <a:off x="13716000" y="16336818"/>
          <a:ext cx="5068455" cy="2309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3DDB-76F8-4243-BC32-479F15F65C13}">
  <sheetPr codeName="Hoja1"/>
  <dimension ref="B1:AR103"/>
  <sheetViews>
    <sheetView tabSelected="1" topLeftCell="V2" zoomScale="82" zoomScaleNormal="85" workbookViewId="0">
      <selection activeCell="AD3" sqref="AD3"/>
    </sheetView>
  </sheetViews>
  <sheetFormatPr baseColWidth="10" defaultRowHeight="14.4" x14ac:dyDescent="0.3"/>
  <cols>
    <col min="29" max="30" width="14.77734375" customWidth="1"/>
  </cols>
  <sheetData>
    <row r="1" spans="2:44" ht="31.8" thickBot="1" x14ac:dyDescent="0.65">
      <c r="AB1" s="89" t="s">
        <v>34</v>
      </c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1"/>
    </row>
    <row r="2" spans="2:44" ht="31.8" thickBot="1" x14ac:dyDescent="0.65">
      <c r="C2" s="58" t="s">
        <v>24</v>
      </c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60"/>
      <c r="AB2" s="1"/>
      <c r="AC2" s="74" t="s">
        <v>30</v>
      </c>
      <c r="AD2" s="75"/>
      <c r="AE2" s="2"/>
      <c r="AF2" s="2"/>
      <c r="AG2" s="2"/>
      <c r="AH2" s="76" t="s">
        <v>33</v>
      </c>
      <c r="AI2" s="77"/>
      <c r="AJ2" s="77"/>
      <c r="AK2" s="77"/>
      <c r="AL2" s="77"/>
      <c r="AM2" s="77"/>
      <c r="AN2" s="77"/>
      <c r="AO2" s="77"/>
      <c r="AP2" s="77"/>
      <c r="AQ2" s="75"/>
      <c r="AR2" s="3"/>
    </row>
    <row r="3" spans="2:44" ht="15" thickBot="1" x14ac:dyDescent="0.35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Y3" s="3"/>
      <c r="AB3" s="40">
        <v>0</v>
      </c>
      <c r="AC3" s="37" t="str">
        <f xml:space="preserve"> "0x" &amp; RIGHT( "0000000" &amp; DEC2HEX(AB3), 8)</f>
        <v>0x00000000</v>
      </c>
      <c r="AD3" s="41"/>
      <c r="AE3" s="2"/>
      <c r="AF3" s="2"/>
      <c r="AG3" s="2"/>
      <c r="AH3" s="1"/>
      <c r="AI3" s="2"/>
      <c r="AJ3" s="2"/>
      <c r="AK3" s="2"/>
      <c r="AL3" s="2"/>
      <c r="AM3" s="2"/>
      <c r="AN3" s="2"/>
      <c r="AO3" s="2"/>
      <c r="AP3" s="2"/>
      <c r="AQ3" s="3"/>
      <c r="AR3" s="3"/>
    </row>
    <row r="4" spans="2:44" ht="21.6" thickBot="1" x14ac:dyDescent="0.45">
      <c r="B4" s="3"/>
      <c r="C4" s="2"/>
      <c r="D4" s="53" t="s">
        <v>0</v>
      </c>
      <c r="E4" s="71"/>
      <c r="F4" s="71"/>
      <c r="G4" s="71"/>
      <c r="H4" s="71"/>
      <c r="I4" s="71"/>
      <c r="J4" s="71"/>
      <c r="K4" s="71"/>
      <c r="L4" s="71"/>
      <c r="M4" s="71"/>
      <c r="N4" s="71"/>
      <c r="O4" s="57"/>
      <c r="P4" s="9"/>
      <c r="Q4" s="9"/>
      <c r="R4" s="2"/>
      <c r="T4" s="55" t="s">
        <v>27</v>
      </c>
      <c r="U4" s="57"/>
      <c r="W4" s="55" t="s">
        <v>28</v>
      </c>
      <c r="X4" s="56"/>
      <c r="Y4" s="3"/>
      <c r="AB4" s="40">
        <v>1</v>
      </c>
      <c r="AC4" s="38" t="str">
        <f t="shared" ref="AC4:AC67" si="0" xml:space="preserve"> "0x" &amp; RIGHT( "0000000" &amp; DEC2HEX(AB4), 8)</f>
        <v>0x00000001</v>
      </c>
      <c r="AD4" s="42"/>
      <c r="AE4" s="2"/>
      <c r="AF4" s="2"/>
      <c r="AG4" s="2"/>
      <c r="AH4" s="1"/>
      <c r="AI4" s="78" t="s">
        <v>31</v>
      </c>
      <c r="AJ4" s="79"/>
      <c r="AK4" s="2"/>
      <c r="AL4" s="80" t="s">
        <v>32</v>
      </c>
      <c r="AM4" s="81"/>
      <c r="AN4" s="81"/>
      <c r="AO4" s="81"/>
      <c r="AP4" s="82"/>
      <c r="AQ4" s="3"/>
      <c r="AR4" s="3"/>
    </row>
    <row r="5" spans="2:44" ht="15" thickBot="1" x14ac:dyDescent="0.35">
      <c r="B5" s="3"/>
      <c r="C5" s="2"/>
      <c r="D5" s="16"/>
      <c r="E5" s="17"/>
      <c r="F5" s="17"/>
      <c r="G5" s="17"/>
      <c r="H5" s="17"/>
      <c r="I5" s="17"/>
      <c r="J5" s="17"/>
      <c r="K5" s="17"/>
      <c r="L5" s="17"/>
      <c r="M5" s="17"/>
      <c r="N5" s="17"/>
      <c r="O5" s="18"/>
      <c r="P5" s="9"/>
      <c r="Q5" s="9"/>
      <c r="R5" s="2"/>
      <c r="S5" s="32">
        <v>0</v>
      </c>
      <c r="T5" s="33" t="str">
        <f xml:space="preserve"> "0x" &amp; RIGHT( "000" &amp; DEC2HEX(S5), 4)</f>
        <v>0x0000</v>
      </c>
      <c r="U5" s="48"/>
      <c r="W5" s="10" t="str">
        <f xml:space="preserve"> "0x" &amp; RIGHT( "000" &amp; DEC2HEX(S5), 4)</f>
        <v>0x0000</v>
      </c>
      <c r="X5" s="44"/>
      <c r="Y5" s="3"/>
      <c r="AB5" s="40">
        <v>2</v>
      </c>
      <c r="AC5" s="38" t="str">
        <f t="shared" si="0"/>
        <v>0x00000002</v>
      </c>
      <c r="AD5" s="42"/>
      <c r="AE5" s="2"/>
      <c r="AF5" s="2"/>
      <c r="AG5" s="2"/>
      <c r="AH5" s="1"/>
      <c r="AI5" s="37" t="str">
        <f xml:space="preserve"> "0x" &amp; RIGHT( "0000000" &amp; DEC2HEX(AB3), 8)</f>
        <v>0x00000000</v>
      </c>
      <c r="AJ5" s="41"/>
      <c r="AK5" s="2"/>
      <c r="AL5" s="83"/>
      <c r="AM5" s="84"/>
      <c r="AN5" s="84"/>
      <c r="AO5" s="84"/>
      <c r="AP5" s="85"/>
      <c r="AQ5" s="3"/>
      <c r="AR5" s="3"/>
    </row>
    <row r="6" spans="2:44" ht="18.600000000000001" thickBot="1" x14ac:dyDescent="0.4">
      <c r="B6" s="3"/>
      <c r="C6" s="2"/>
      <c r="D6" s="16"/>
      <c r="E6" s="53" t="s">
        <v>5</v>
      </c>
      <c r="F6" s="54"/>
      <c r="G6" s="8"/>
      <c r="H6" s="53" t="s">
        <v>11</v>
      </c>
      <c r="I6" s="54"/>
      <c r="J6" s="17"/>
      <c r="K6" s="55" t="s">
        <v>12</v>
      </c>
      <c r="L6" s="56"/>
      <c r="M6" s="17"/>
      <c r="N6" s="28" t="s">
        <v>14</v>
      </c>
      <c r="O6" s="18"/>
      <c r="P6" s="9"/>
      <c r="Q6" s="9"/>
      <c r="R6" s="2"/>
      <c r="S6" s="32">
        <v>1</v>
      </c>
      <c r="T6" s="34" t="str">
        <f t="shared" ref="T6:T42" si="1" xml:space="preserve"> "0x" &amp; RIGHT( "000" &amp; DEC2HEX(S6), 4)</f>
        <v>0x0001</v>
      </c>
      <c r="U6" s="45"/>
      <c r="W6" s="11" t="str">
        <f t="shared" ref="W6:W66" si="2" xml:space="preserve"> "0x" &amp; RIGHT( "000" &amp; DEC2HEX(S6), 4)</f>
        <v>0x0001</v>
      </c>
      <c r="X6" s="45"/>
      <c r="Y6" s="3"/>
      <c r="AA6" s="2"/>
      <c r="AB6" s="40">
        <v>3</v>
      </c>
      <c r="AC6" s="38" t="str">
        <f t="shared" si="0"/>
        <v>0x00000003</v>
      </c>
      <c r="AD6" s="42"/>
      <c r="AE6" s="2"/>
      <c r="AF6" s="2"/>
      <c r="AG6" s="2"/>
      <c r="AH6" s="1"/>
      <c r="AI6" s="38" t="str">
        <f t="shared" ref="AI6:AI69" si="3" xml:space="preserve"> "0x" &amp; RIGHT( "0000000" &amp; DEC2HEX(AB4), 8)</f>
        <v>0x00000001</v>
      </c>
      <c r="AJ6" s="42"/>
      <c r="AK6" s="2"/>
      <c r="AL6" s="83"/>
      <c r="AM6" s="84"/>
      <c r="AN6" s="84"/>
      <c r="AO6" s="84"/>
      <c r="AP6" s="85"/>
      <c r="AQ6" s="3"/>
      <c r="AR6" s="3"/>
    </row>
    <row r="7" spans="2:44" ht="15" thickBot="1" x14ac:dyDescent="0.35">
      <c r="B7" s="3"/>
      <c r="C7" s="2"/>
      <c r="D7" s="16"/>
      <c r="E7" s="92" t="s">
        <v>1</v>
      </c>
      <c r="F7" s="44"/>
      <c r="G7" s="17"/>
      <c r="H7" s="13" t="s">
        <v>6</v>
      </c>
      <c r="I7" s="50"/>
      <c r="J7" s="17"/>
      <c r="K7" s="10" t="s">
        <v>10</v>
      </c>
      <c r="L7" s="44"/>
      <c r="M7" s="17"/>
      <c r="N7" s="52"/>
      <c r="O7" s="18"/>
      <c r="P7" s="9"/>
      <c r="Q7" s="9"/>
      <c r="R7" s="2"/>
      <c r="S7" s="32">
        <v>2</v>
      </c>
      <c r="T7" s="34" t="str">
        <f t="shared" si="1"/>
        <v>0x0002</v>
      </c>
      <c r="U7" s="45"/>
      <c r="W7" s="11" t="str">
        <f t="shared" si="2"/>
        <v>0x0002</v>
      </c>
      <c r="X7" s="45"/>
      <c r="Y7" s="3"/>
      <c r="AB7" s="40">
        <v>4</v>
      </c>
      <c r="AC7" s="38" t="str">
        <f t="shared" si="0"/>
        <v>0x00000004</v>
      </c>
      <c r="AD7" s="42"/>
      <c r="AE7" s="2"/>
      <c r="AF7" s="2"/>
      <c r="AG7" s="2"/>
      <c r="AH7" s="1"/>
      <c r="AI7" s="38" t="str">
        <f t="shared" si="3"/>
        <v>0x00000002</v>
      </c>
      <c r="AJ7" s="42"/>
      <c r="AK7" s="2"/>
      <c r="AL7" s="83"/>
      <c r="AM7" s="84"/>
      <c r="AN7" s="84"/>
      <c r="AO7" s="84"/>
      <c r="AP7" s="85"/>
      <c r="AQ7" s="3"/>
      <c r="AR7" s="3"/>
    </row>
    <row r="8" spans="2:44" ht="15" thickBot="1" x14ac:dyDescent="0.35">
      <c r="B8" s="3"/>
      <c r="C8" s="2"/>
      <c r="D8" s="16"/>
      <c r="E8" s="11" t="s">
        <v>2</v>
      </c>
      <c r="F8" s="45"/>
      <c r="G8" s="17"/>
      <c r="H8" s="14" t="s">
        <v>7</v>
      </c>
      <c r="I8" s="46"/>
      <c r="J8" s="17"/>
      <c r="K8" s="12" t="s">
        <v>13</v>
      </c>
      <c r="L8" s="49"/>
      <c r="M8" s="17"/>
      <c r="N8" s="17"/>
      <c r="O8" s="18"/>
      <c r="P8" s="9"/>
      <c r="Q8" s="9"/>
      <c r="R8" s="2"/>
      <c r="S8" s="32">
        <v>3</v>
      </c>
      <c r="T8" s="34" t="str">
        <f t="shared" si="1"/>
        <v>0x0003</v>
      </c>
      <c r="U8" s="45"/>
      <c r="W8" s="11" t="str">
        <f t="shared" si="2"/>
        <v>0x0003</v>
      </c>
      <c r="X8" s="45"/>
      <c r="Y8" s="3"/>
      <c r="AB8" s="40">
        <v>5</v>
      </c>
      <c r="AC8" s="38" t="str">
        <f t="shared" si="0"/>
        <v>0x00000005</v>
      </c>
      <c r="AD8" s="42"/>
      <c r="AE8" s="2"/>
      <c r="AF8" s="2"/>
      <c r="AG8" s="2"/>
      <c r="AH8" s="1"/>
      <c r="AI8" s="38" t="str">
        <f t="shared" si="3"/>
        <v>0x00000003</v>
      </c>
      <c r="AJ8" s="42"/>
      <c r="AK8" s="2"/>
      <c r="AL8" s="83"/>
      <c r="AM8" s="84"/>
      <c r="AN8" s="84"/>
      <c r="AO8" s="84"/>
      <c r="AP8" s="85"/>
      <c r="AQ8" s="3"/>
      <c r="AR8" s="3"/>
    </row>
    <row r="9" spans="2:44" x14ac:dyDescent="0.3">
      <c r="B9" s="3"/>
      <c r="C9" s="2"/>
      <c r="D9" s="16"/>
      <c r="E9" s="11" t="s">
        <v>3</v>
      </c>
      <c r="F9" s="45"/>
      <c r="G9" s="17"/>
      <c r="H9" s="14" t="s">
        <v>8</v>
      </c>
      <c r="I9" s="46"/>
      <c r="J9" s="17"/>
      <c r="K9" s="17"/>
      <c r="L9" s="17"/>
      <c r="M9" s="17"/>
      <c r="N9" s="17"/>
      <c r="O9" s="18"/>
      <c r="P9" s="9"/>
      <c r="Q9" s="9"/>
      <c r="R9" s="2"/>
      <c r="S9" s="32">
        <v>4</v>
      </c>
      <c r="T9" s="34" t="str">
        <f t="shared" si="1"/>
        <v>0x0004</v>
      </c>
      <c r="U9" s="45"/>
      <c r="W9" s="11" t="str">
        <f t="shared" si="2"/>
        <v>0x0004</v>
      </c>
      <c r="X9" s="45"/>
      <c r="Y9" s="3"/>
      <c r="AB9" s="40">
        <v>6</v>
      </c>
      <c r="AC9" s="38" t="str">
        <f t="shared" si="0"/>
        <v>0x00000006</v>
      </c>
      <c r="AD9" s="42"/>
      <c r="AE9" s="2"/>
      <c r="AF9" s="2"/>
      <c r="AG9" s="2"/>
      <c r="AH9" s="1"/>
      <c r="AI9" s="38" t="str">
        <f t="shared" si="3"/>
        <v>0x00000004</v>
      </c>
      <c r="AJ9" s="42"/>
      <c r="AK9" s="2"/>
      <c r="AL9" s="83"/>
      <c r="AM9" s="84"/>
      <c r="AN9" s="84"/>
      <c r="AO9" s="84"/>
      <c r="AP9" s="85"/>
      <c r="AQ9" s="3"/>
      <c r="AR9" s="3"/>
    </row>
    <row r="10" spans="2:44" ht="15" thickBot="1" x14ac:dyDescent="0.35">
      <c r="B10" s="3"/>
      <c r="C10" s="2"/>
      <c r="D10" s="16"/>
      <c r="E10" s="12" t="s">
        <v>4</v>
      </c>
      <c r="F10" s="49"/>
      <c r="G10" s="17"/>
      <c r="H10" s="15" t="s">
        <v>9</v>
      </c>
      <c r="I10" s="51"/>
      <c r="J10" s="17"/>
      <c r="K10" s="17"/>
      <c r="L10" s="17"/>
      <c r="M10" s="17"/>
      <c r="N10" s="17"/>
      <c r="O10" s="18"/>
      <c r="P10" s="9"/>
      <c r="Q10" s="9"/>
      <c r="R10" s="2"/>
      <c r="S10" s="32">
        <v>5</v>
      </c>
      <c r="T10" s="34" t="str">
        <f t="shared" si="1"/>
        <v>0x0005</v>
      </c>
      <c r="U10" s="45"/>
      <c r="W10" s="11" t="str">
        <f t="shared" si="2"/>
        <v>0x0005</v>
      </c>
      <c r="X10" s="45"/>
      <c r="Y10" s="3"/>
      <c r="AB10" s="40">
        <v>7</v>
      </c>
      <c r="AC10" s="38" t="str">
        <f t="shared" si="0"/>
        <v>0x00000007</v>
      </c>
      <c r="AD10" s="42"/>
      <c r="AE10" s="2"/>
      <c r="AF10" s="2"/>
      <c r="AG10" s="2"/>
      <c r="AH10" s="1"/>
      <c r="AI10" s="38" t="str">
        <f t="shared" si="3"/>
        <v>0x00000005</v>
      </c>
      <c r="AJ10" s="42"/>
      <c r="AK10" s="2"/>
      <c r="AL10" s="83"/>
      <c r="AM10" s="84"/>
      <c r="AN10" s="84"/>
      <c r="AO10" s="84"/>
      <c r="AP10" s="85"/>
      <c r="AQ10" s="3"/>
      <c r="AR10" s="3"/>
    </row>
    <row r="11" spans="2:44" ht="15" thickBot="1" x14ac:dyDescent="0.35">
      <c r="B11" s="3"/>
      <c r="C11" s="2"/>
      <c r="D11" s="25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7"/>
      <c r="P11" s="9"/>
      <c r="Q11" s="9"/>
      <c r="R11" s="2"/>
      <c r="S11" s="32">
        <v>6</v>
      </c>
      <c r="T11" s="34" t="str">
        <f t="shared" si="1"/>
        <v>0x0006</v>
      </c>
      <c r="U11" s="45"/>
      <c r="W11" s="11" t="str">
        <f t="shared" si="2"/>
        <v>0x0006</v>
      </c>
      <c r="X11" s="45"/>
      <c r="Y11" s="3"/>
      <c r="AB11" s="40">
        <v>8</v>
      </c>
      <c r="AC11" s="38" t="str">
        <f t="shared" si="0"/>
        <v>0x00000008</v>
      </c>
      <c r="AD11" s="42"/>
      <c r="AE11" s="2"/>
      <c r="AF11" s="2"/>
      <c r="AG11" s="2"/>
      <c r="AH11" s="1"/>
      <c r="AI11" s="38" t="str">
        <f t="shared" si="3"/>
        <v>0x00000006</v>
      </c>
      <c r="AJ11" s="42"/>
      <c r="AK11" s="2"/>
      <c r="AL11" s="83"/>
      <c r="AM11" s="84"/>
      <c r="AN11" s="84"/>
      <c r="AO11" s="84"/>
      <c r="AP11" s="85"/>
      <c r="AQ11" s="3"/>
      <c r="AR11" s="3"/>
    </row>
    <row r="12" spans="2:44" x14ac:dyDescent="0.3">
      <c r="B12" s="3"/>
      <c r="C12" s="2"/>
      <c r="D12" s="2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32">
        <v>7</v>
      </c>
      <c r="T12" s="34" t="str">
        <f t="shared" si="1"/>
        <v>0x0007</v>
      </c>
      <c r="U12" s="45"/>
      <c r="W12" s="11" t="str">
        <f t="shared" si="2"/>
        <v>0x0007</v>
      </c>
      <c r="X12" s="45"/>
      <c r="Y12" s="3"/>
      <c r="AB12" s="40">
        <v>9</v>
      </c>
      <c r="AC12" s="38" t="str">
        <f t="shared" si="0"/>
        <v>0x00000009</v>
      </c>
      <c r="AD12" s="42"/>
      <c r="AE12" s="2"/>
      <c r="AF12" s="2"/>
      <c r="AG12" s="2"/>
      <c r="AH12" s="1"/>
      <c r="AI12" s="38" t="str">
        <f t="shared" si="3"/>
        <v>0x00000007</v>
      </c>
      <c r="AJ12" s="42"/>
      <c r="AK12" s="2"/>
      <c r="AL12" s="83"/>
      <c r="AM12" s="84"/>
      <c r="AN12" s="84"/>
      <c r="AO12" s="84"/>
      <c r="AP12" s="85"/>
      <c r="AQ12" s="3"/>
      <c r="AR12" s="3"/>
    </row>
    <row r="13" spans="2:44" ht="15" thickBot="1" x14ac:dyDescent="0.35">
      <c r="B13" s="3"/>
      <c r="C13" s="2"/>
      <c r="D13" s="2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32">
        <v>8</v>
      </c>
      <c r="T13" s="34" t="str">
        <f t="shared" si="1"/>
        <v>0x0008</v>
      </c>
      <c r="U13" s="45"/>
      <c r="W13" s="11" t="str">
        <f t="shared" si="2"/>
        <v>0x0008</v>
      </c>
      <c r="X13" s="45"/>
      <c r="Y13" s="3"/>
      <c r="AB13" s="40">
        <v>10</v>
      </c>
      <c r="AC13" s="38" t="str">
        <f t="shared" si="0"/>
        <v>0x0000000A</v>
      </c>
      <c r="AD13" s="42"/>
      <c r="AE13" s="2"/>
      <c r="AF13" s="2"/>
      <c r="AG13" s="2"/>
      <c r="AH13" s="1"/>
      <c r="AI13" s="38" t="str">
        <f t="shared" si="3"/>
        <v>0x00000008</v>
      </c>
      <c r="AJ13" s="42"/>
      <c r="AK13" s="2"/>
      <c r="AL13" s="83"/>
      <c r="AM13" s="84"/>
      <c r="AN13" s="84"/>
      <c r="AO13" s="84"/>
      <c r="AP13" s="85"/>
      <c r="AQ13" s="3"/>
      <c r="AR13" s="3"/>
    </row>
    <row r="14" spans="2:44" ht="18.600000000000001" thickBot="1" x14ac:dyDescent="0.4">
      <c r="B14" s="3"/>
      <c r="C14" s="2"/>
      <c r="D14" s="53" t="s">
        <v>15</v>
      </c>
      <c r="E14" s="71"/>
      <c r="F14" s="71"/>
      <c r="G14" s="71"/>
      <c r="H14" s="71"/>
      <c r="I14" s="71"/>
      <c r="J14" s="57"/>
      <c r="K14" s="9"/>
      <c r="L14" s="53" t="s">
        <v>19</v>
      </c>
      <c r="M14" s="73"/>
      <c r="N14" s="73"/>
      <c r="O14" s="73"/>
      <c r="P14" s="73"/>
      <c r="Q14" s="54"/>
      <c r="R14" s="2"/>
      <c r="S14" s="32">
        <v>9</v>
      </c>
      <c r="T14" s="34" t="str">
        <f t="shared" si="1"/>
        <v>0x0009</v>
      </c>
      <c r="U14" s="45"/>
      <c r="W14" s="11" t="str">
        <f t="shared" si="2"/>
        <v>0x0009</v>
      </c>
      <c r="X14" s="45"/>
      <c r="Y14" s="3"/>
      <c r="AB14" s="40">
        <v>11</v>
      </c>
      <c r="AC14" s="38" t="str">
        <f t="shared" si="0"/>
        <v>0x0000000B</v>
      </c>
      <c r="AD14" s="42"/>
      <c r="AE14" s="2"/>
      <c r="AF14" s="2"/>
      <c r="AG14" s="2"/>
      <c r="AH14" s="1"/>
      <c r="AI14" s="38" t="str">
        <f t="shared" si="3"/>
        <v>0x00000009</v>
      </c>
      <c r="AJ14" s="42"/>
      <c r="AK14" s="2"/>
      <c r="AL14" s="83"/>
      <c r="AM14" s="84"/>
      <c r="AN14" s="84"/>
      <c r="AO14" s="84"/>
      <c r="AP14" s="85"/>
      <c r="AQ14" s="3"/>
      <c r="AR14" s="3"/>
    </row>
    <row r="15" spans="2:44" x14ac:dyDescent="0.3">
      <c r="B15" s="3"/>
      <c r="C15" s="2"/>
      <c r="D15" s="16"/>
      <c r="E15" s="17"/>
      <c r="F15" s="17"/>
      <c r="G15" s="17"/>
      <c r="H15" s="17"/>
      <c r="I15" s="17"/>
      <c r="J15" s="18"/>
      <c r="K15" s="9"/>
      <c r="L15" s="16"/>
      <c r="M15" s="17"/>
      <c r="N15" s="17"/>
      <c r="O15" s="17"/>
      <c r="P15" s="17"/>
      <c r="Q15" s="18"/>
      <c r="R15" s="2"/>
      <c r="S15" s="32">
        <v>10</v>
      </c>
      <c r="T15" s="34" t="str">
        <f t="shared" si="1"/>
        <v>0x000A</v>
      </c>
      <c r="U15" s="45"/>
      <c r="W15" s="11" t="str">
        <f t="shared" si="2"/>
        <v>0x000A</v>
      </c>
      <c r="X15" s="45"/>
      <c r="Y15" s="3"/>
      <c r="AB15" s="40">
        <v>12</v>
      </c>
      <c r="AC15" s="38" t="str">
        <f t="shared" si="0"/>
        <v>0x0000000C</v>
      </c>
      <c r="AD15" s="42"/>
      <c r="AE15" s="2"/>
      <c r="AF15" s="2"/>
      <c r="AG15" s="2"/>
      <c r="AH15" s="1"/>
      <c r="AI15" s="38" t="str">
        <f t="shared" si="3"/>
        <v>0x0000000A</v>
      </c>
      <c r="AJ15" s="42"/>
      <c r="AK15" s="2"/>
      <c r="AL15" s="83"/>
      <c r="AM15" s="84"/>
      <c r="AN15" s="84"/>
      <c r="AO15" s="84"/>
      <c r="AP15" s="85"/>
      <c r="AQ15" s="3"/>
      <c r="AR15" s="3"/>
    </row>
    <row r="16" spans="2:44" x14ac:dyDescent="0.3">
      <c r="B16" s="3"/>
      <c r="C16" s="2"/>
      <c r="D16" s="16"/>
      <c r="E16" s="17"/>
      <c r="F16" s="17"/>
      <c r="G16" s="17"/>
      <c r="H16" s="17"/>
      <c r="I16" s="17"/>
      <c r="J16" s="18"/>
      <c r="K16" s="9"/>
      <c r="L16" s="16"/>
      <c r="M16" s="17"/>
      <c r="N16" s="17"/>
      <c r="O16" s="17"/>
      <c r="P16" s="17"/>
      <c r="Q16" s="18"/>
      <c r="R16" s="2"/>
      <c r="S16" s="32">
        <v>11</v>
      </c>
      <c r="T16" s="34" t="str">
        <f t="shared" si="1"/>
        <v>0x000B</v>
      </c>
      <c r="U16" s="45"/>
      <c r="W16" s="11" t="str">
        <f t="shared" si="2"/>
        <v>0x000B</v>
      </c>
      <c r="X16" s="45"/>
      <c r="Y16" s="3"/>
      <c r="AB16" s="40">
        <v>13</v>
      </c>
      <c r="AC16" s="38" t="str">
        <f t="shared" si="0"/>
        <v>0x0000000D</v>
      </c>
      <c r="AD16" s="42"/>
      <c r="AE16" s="2"/>
      <c r="AF16" s="2"/>
      <c r="AG16" s="2"/>
      <c r="AH16" s="1"/>
      <c r="AI16" s="38" t="str">
        <f t="shared" si="3"/>
        <v>0x0000000B</v>
      </c>
      <c r="AJ16" s="42"/>
      <c r="AK16" s="2"/>
      <c r="AL16" s="83"/>
      <c r="AM16" s="84"/>
      <c r="AN16" s="84"/>
      <c r="AO16" s="84"/>
      <c r="AP16" s="85"/>
      <c r="AQ16" s="3"/>
      <c r="AR16" s="3"/>
    </row>
    <row r="17" spans="2:44" ht="15" thickBot="1" x14ac:dyDescent="0.35">
      <c r="B17" s="3"/>
      <c r="C17" s="2"/>
      <c r="D17" s="16"/>
      <c r="E17" s="17"/>
      <c r="F17" s="17"/>
      <c r="G17" s="17"/>
      <c r="H17" s="17"/>
      <c r="I17" s="17"/>
      <c r="J17" s="18"/>
      <c r="K17" s="9"/>
      <c r="L17" s="16"/>
      <c r="M17" s="17"/>
      <c r="N17" s="17"/>
      <c r="O17" s="17"/>
      <c r="P17" s="17"/>
      <c r="Q17" s="18"/>
      <c r="R17" s="2"/>
      <c r="S17" s="32">
        <v>12</v>
      </c>
      <c r="T17" s="34" t="str">
        <f t="shared" si="1"/>
        <v>0x000C</v>
      </c>
      <c r="U17" s="45"/>
      <c r="W17" s="11" t="str">
        <f t="shared" si="2"/>
        <v>0x000C</v>
      </c>
      <c r="X17" s="45"/>
      <c r="Y17" s="3"/>
      <c r="AB17" s="40">
        <v>14</v>
      </c>
      <c r="AC17" s="38" t="str">
        <f t="shared" si="0"/>
        <v>0x0000000E</v>
      </c>
      <c r="AD17" s="42"/>
      <c r="AE17" s="2"/>
      <c r="AF17" s="2"/>
      <c r="AG17" s="2"/>
      <c r="AH17" s="1"/>
      <c r="AI17" s="38" t="str">
        <f t="shared" si="3"/>
        <v>0x0000000C</v>
      </c>
      <c r="AJ17" s="42"/>
      <c r="AK17" s="2"/>
      <c r="AL17" s="83"/>
      <c r="AM17" s="84"/>
      <c r="AN17" s="84"/>
      <c r="AO17" s="84"/>
      <c r="AP17" s="85"/>
      <c r="AQ17" s="3"/>
      <c r="AR17" s="3"/>
    </row>
    <row r="18" spans="2:44" ht="18.600000000000001" thickBot="1" x14ac:dyDescent="0.4">
      <c r="B18" s="3"/>
      <c r="C18" s="2"/>
      <c r="D18" s="16"/>
      <c r="E18" s="28" t="s">
        <v>17</v>
      </c>
      <c r="F18" s="17"/>
      <c r="G18" s="53" t="s">
        <v>18</v>
      </c>
      <c r="H18" s="71"/>
      <c r="I18" s="57"/>
      <c r="J18" s="18"/>
      <c r="K18" s="9"/>
      <c r="L18" s="16"/>
      <c r="M18" s="17"/>
      <c r="N18" s="17"/>
      <c r="O18" s="17"/>
      <c r="P18" s="17"/>
      <c r="Q18" s="18"/>
      <c r="R18" s="2"/>
      <c r="S18" s="32">
        <v>13</v>
      </c>
      <c r="T18" s="34" t="str">
        <f t="shared" si="1"/>
        <v>0x000D</v>
      </c>
      <c r="U18" s="45"/>
      <c r="W18" s="11" t="str">
        <f t="shared" si="2"/>
        <v>0x000D</v>
      </c>
      <c r="X18" s="45"/>
      <c r="Y18" s="3"/>
      <c r="AB18" s="40">
        <v>15</v>
      </c>
      <c r="AC18" s="38" t="str">
        <f t="shared" si="0"/>
        <v>0x0000000F</v>
      </c>
      <c r="AD18" s="42"/>
      <c r="AE18" s="2"/>
      <c r="AF18" s="2"/>
      <c r="AG18" s="2"/>
      <c r="AH18" s="1"/>
      <c r="AI18" s="38" t="str">
        <f t="shared" si="3"/>
        <v>0x0000000D</v>
      </c>
      <c r="AJ18" s="42"/>
      <c r="AK18" s="2"/>
      <c r="AL18" s="83"/>
      <c r="AM18" s="84"/>
      <c r="AN18" s="84"/>
      <c r="AO18" s="84"/>
      <c r="AP18" s="85"/>
      <c r="AQ18" s="3"/>
      <c r="AR18" s="3"/>
    </row>
    <row r="19" spans="2:44" ht="18.600000000000001" thickBot="1" x14ac:dyDescent="0.4">
      <c r="B19" s="3"/>
      <c r="C19" s="2"/>
      <c r="D19" s="16"/>
      <c r="E19" s="52"/>
      <c r="F19" s="17"/>
      <c r="G19" s="67"/>
      <c r="H19" s="72"/>
      <c r="I19" s="68"/>
      <c r="J19" s="18"/>
      <c r="K19" s="9"/>
      <c r="L19" s="16"/>
      <c r="M19" s="28" t="s">
        <v>20</v>
      </c>
      <c r="N19" s="17"/>
      <c r="O19" s="17"/>
      <c r="P19" s="28" t="s">
        <v>21</v>
      </c>
      <c r="Q19" s="18"/>
      <c r="R19" s="2"/>
      <c r="S19" s="32">
        <v>14</v>
      </c>
      <c r="T19" s="34" t="str">
        <f t="shared" si="1"/>
        <v>0x000E</v>
      </c>
      <c r="U19" s="45"/>
      <c r="W19" s="11" t="str">
        <f t="shared" si="2"/>
        <v>0x000E</v>
      </c>
      <c r="X19" s="45"/>
      <c r="Y19" s="3"/>
      <c r="AB19" s="40">
        <v>16</v>
      </c>
      <c r="AC19" s="38" t="str">
        <f t="shared" si="0"/>
        <v>0x00000010</v>
      </c>
      <c r="AD19" s="42"/>
      <c r="AE19" s="2"/>
      <c r="AF19" s="2"/>
      <c r="AG19" s="2"/>
      <c r="AH19" s="1"/>
      <c r="AI19" s="38" t="str">
        <f t="shared" si="3"/>
        <v>0x0000000E</v>
      </c>
      <c r="AJ19" s="42"/>
      <c r="AK19" s="2"/>
      <c r="AL19" s="83"/>
      <c r="AM19" s="84"/>
      <c r="AN19" s="84"/>
      <c r="AO19" s="84"/>
      <c r="AP19" s="85"/>
      <c r="AQ19" s="3"/>
      <c r="AR19" s="3"/>
    </row>
    <row r="20" spans="2:44" ht="15" thickBot="1" x14ac:dyDescent="0.35">
      <c r="B20" s="3"/>
      <c r="C20" s="2"/>
      <c r="D20" s="16"/>
      <c r="E20" s="17"/>
      <c r="F20" s="17"/>
      <c r="G20" s="17"/>
      <c r="H20" s="17"/>
      <c r="I20" s="17"/>
      <c r="J20" s="18"/>
      <c r="K20" s="9"/>
      <c r="L20" s="16"/>
      <c r="M20" s="52"/>
      <c r="N20" s="17"/>
      <c r="O20" s="17"/>
      <c r="P20" s="52"/>
      <c r="Q20" s="18"/>
      <c r="R20" s="2"/>
      <c r="S20" s="32">
        <v>15</v>
      </c>
      <c r="T20" s="34" t="str">
        <f t="shared" si="1"/>
        <v>0x000F</v>
      </c>
      <c r="U20" s="45"/>
      <c r="W20" s="11" t="str">
        <f t="shared" si="2"/>
        <v>0x000F</v>
      </c>
      <c r="X20" s="45"/>
      <c r="Y20" s="3"/>
      <c r="AB20" s="40">
        <v>17</v>
      </c>
      <c r="AC20" s="38" t="str">
        <f t="shared" si="0"/>
        <v>0x00000011</v>
      </c>
      <c r="AD20" s="42"/>
      <c r="AE20" s="2"/>
      <c r="AF20" s="2"/>
      <c r="AG20" s="2"/>
      <c r="AH20" s="1"/>
      <c r="AI20" s="38" t="str">
        <f t="shared" si="3"/>
        <v>0x0000000F</v>
      </c>
      <c r="AJ20" s="42"/>
      <c r="AK20" s="2"/>
      <c r="AL20" s="83"/>
      <c r="AM20" s="84"/>
      <c r="AN20" s="84"/>
      <c r="AO20" s="84"/>
      <c r="AP20" s="85"/>
      <c r="AQ20" s="3"/>
      <c r="AR20" s="3"/>
    </row>
    <row r="21" spans="2:44" x14ac:dyDescent="0.3">
      <c r="B21" s="3"/>
      <c r="C21" s="2"/>
      <c r="D21" s="16"/>
      <c r="E21" s="17"/>
      <c r="F21" s="17"/>
      <c r="G21" s="17"/>
      <c r="H21" s="17"/>
      <c r="I21" s="17"/>
      <c r="J21" s="18"/>
      <c r="K21" s="9"/>
      <c r="L21" s="16"/>
      <c r="M21" s="17"/>
      <c r="N21" s="17"/>
      <c r="O21" s="17"/>
      <c r="P21" s="17"/>
      <c r="Q21" s="18"/>
      <c r="R21" s="2"/>
      <c r="S21" s="32">
        <v>16</v>
      </c>
      <c r="T21" s="34" t="str">
        <f t="shared" si="1"/>
        <v>0x0010</v>
      </c>
      <c r="U21" s="45"/>
      <c r="W21" s="11" t="str">
        <f t="shared" si="2"/>
        <v>0x0010</v>
      </c>
      <c r="X21" s="45"/>
      <c r="Y21" s="3"/>
      <c r="AB21" s="40">
        <v>18</v>
      </c>
      <c r="AC21" s="38" t="str">
        <f t="shared" si="0"/>
        <v>0x00000012</v>
      </c>
      <c r="AD21" s="42"/>
      <c r="AE21" s="2"/>
      <c r="AF21" s="2"/>
      <c r="AG21" s="2"/>
      <c r="AH21" s="1"/>
      <c r="AI21" s="38" t="str">
        <f t="shared" si="3"/>
        <v>0x00000010</v>
      </c>
      <c r="AJ21" s="42"/>
      <c r="AK21" s="2"/>
      <c r="AL21" s="83"/>
      <c r="AM21" s="84"/>
      <c r="AN21" s="84"/>
      <c r="AO21" s="84"/>
      <c r="AP21" s="85"/>
      <c r="AQ21" s="3"/>
      <c r="AR21" s="3"/>
    </row>
    <row r="22" spans="2:44" x14ac:dyDescent="0.3">
      <c r="B22" s="3"/>
      <c r="C22" s="2"/>
      <c r="D22" s="16"/>
      <c r="E22" s="17"/>
      <c r="F22" s="17"/>
      <c r="G22" s="17"/>
      <c r="H22" s="17"/>
      <c r="I22" s="17"/>
      <c r="J22" s="18"/>
      <c r="K22" s="9"/>
      <c r="L22" s="16"/>
      <c r="M22" s="17"/>
      <c r="N22" s="17"/>
      <c r="O22" s="17"/>
      <c r="P22" s="17"/>
      <c r="Q22" s="18"/>
      <c r="R22" s="2"/>
      <c r="S22" s="32">
        <v>17</v>
      </c>
      <c r="T22" s="34" t="str">
        <f t="shared" si="1"/>
        <v>0x0011</v>
      </c>
      <c r="U22" s="45"/>
      <c r="W22" s="11" t="str">
        <f t="shared" si="2"/>
        <v>0x0011</v>
      </c>
      <c r="X22" s="45"/>
      <c r="Y22" s="3"/>
      <c r="AB22" s="40">
        <v>19</v>
      </c>
      <c r="AC22" s="38" t="str">
        <f t="shared" si="0"/>
        <v>0x00000013</v>
      </c>
      <c r="AD22" s="42"/>
      <c r="AE22" s="2"/>
      <c r="AF22" s="2"/>
      <c r="AG22" s="2"/>
      <c r="AH22" s="1"/>
      <c r="AI22" s="38" t="str">
        <f t="shared" si="3"/>
        <v>0x00000011</v>
      </c>
      <c r="AJ22" s="42"/>
      <c r="AK22" s="2"/>
      <c r="AL22" s="83"/>
      <c r="AM22" s="84"/>
      <c r="AN22" s="84"/>
      <c r="AO22" s="84"/>
      <c r="AP22" s="85"/>
      <c r="AQ22" s="3"/>
      <c r="AR22" s="3"/>
    </row>
    <row r="23" spans="2:44" ht="18" x14ac:dyDescent="0.35">
      <c r="B23" s="3"/>
      <c r="C23" s="2"/>
      <c r="D23" s="16"/>
      <c r="E23" s="7"/>
      <c r="F23" s="8"/>
      <c r="G23" s="17"/>
      <c r="H23" s="17"/>
      <c r="I23" s="17"/>
      <c r="J23" s="18"/>
      <c r="K23" s="9"/>
      <c r="L23" s="16"/>
      <c r="M23" s="17"/>
      <c r="N23" s="17"/>
      <c r="O23" s="17"/>
      <c r="P23" s="17"/>
      <c r="Q23" s="18"/>
      <c r="R23" s="2"/>
      <c r="S23" s="32">
        <v>18</v>
      </c>
      <c r="T23" s="34" t="str">
        <f t="shared" si="1"/>
        <v>0x0012</v>
      </c>
      <c r="U23" s="45"/>
      <c r="W23" s="11" t="str">
        <f t="shared" si="2"/>
        <v>0x0012</v>
      </c>
      <c r="X23" s="45"/>
      <c r="Y23" s="3"/>
      <c r="AB23" s="40">
        <v>20</v>
      </c>
      <c r="AC23" s="38" t="str">
        <f t="shared" si="0"/>
        <v>0x00000014</v>
      </c>
      <c r="AD23" s="42"/>
      <c r="AE23" s="2"/>
      <c r="AF23" s="2"/>
      <c r="AG23" s="2"/>
      <c r="AH23" s="1"/>
      <c r="AI23" s="38" t="str">
        <f t="shared" si="3"/>
        <v>0x00000012</v>
      </c>
      <c r="AJ23" s="42"/>
      <c r="AK23" s="2"/>
      <c r="AL23" s="83"/>
      <c r="AM23" s="84"/>
      <c r="AN23" s="84"/>
      <c r="AO23" s="84"/>
      <c r="AP23" s="85"/>
      <c r="AQ23" s="3"/>
      <c r="AR23" s="3"/>
    </row>
    <row r="24" spans="2:44" x14ac:dyDescent="0.3">
      <c r="B24" s="3"/>
      <c r="C24" s="2"/>
      <c r="D24" s="16"/>
      <c r="E24" s="17"/>
      <c r="F24" s="17"/>
      <c r="G24" s="17"/>
      <c r="H24" s="17"/>
      <c r="I24" s="17"/>
      <c r="J24" s="18"/>
      <c r="K24" s="2"/>
      <c r="L24" s="16"/>
      <c r="M24" s="17"/>
      <c r="N24" s="17"/>
      <c r="O24" s="17"/>
      <c r="P24" s="17"/>
      <c r="Q24" s="18"/>
      <c r="R24" s="2"/>
      <c r="S24" s="32">
        <v>19</v>
      </c>
      <c r="T24" s="34" t="str">
        <f t="shared" si="1"/>
        <v>0x0013</v>
      </c>
      <c r="U24" s="45"/>
      <c r="W24" s="11" t="str">
        <f t="shared" si="2"/>
        <v>0x0013</v>
      </c>
      <c r="X24" s="45"/>
      <c r="Y24" s="3"/>
      <c r="AB24" s="40">
        <v>21</v>
      </c>
      <c r="AC24" s="38" t="str">
        <f t="shared" si="0"/>
        <v>0x00000015</v>
      </c>
      <c r="AD24" s="42"/>
      <c r="AE24" s="2"/>
      <c r="AF24" s="2"/>
      <c r="AG24" s="2"/>
      <c r="AH24" s="1"/>
      <c r="AI24" s="38" t="str">
        <f t="shared" si="3"/>
        <v>0x00000013</v>
      </c>
      <c r="AJ24" s="42"/>
      <c r="AK24" s="2"/>
      <c r="AL24" s="83"/>
      <c r="AM24" s="84"/>
      <c r="AN24" s="84"/>
      <c r="AO24" s="84"/>
      <c r="AP24" s="85"/>
      <c r="AQ24" s="3"/>
      <c r="AR24" s="3"/>
    </row>
    <row r="25" spans="2:44" x14ac:dyDescent="0.3">
      <c r="B25" s="3"/>
      <c r="C25" s="2"/>
      <c r="D25" s="16"/>
      <c r="E25" s="17"/>
      <c r="F25" s="17"/>
      <c r="G25" s="17"/>
      <c r="H25" s="17"/>
      <c r="I25" s="17"/>
      <c r="J25" s="18"/>
      <c r="K25" s="2"/>
      <c r="L25" s="16"/>
      <c r="M25" s="17"/>
      <c r="N25" s="17"/>
      <c r="O25" s="17"/>
      <c r="P25" s="17"/>
      <c r="Q25" s="18"/>
      <c r="R25" s="2"/>
      <c r="S25" s="32">
        <v>20</v>
      </c>
      <c r="T25" s="34" t="str">
        <f t="shared" si="1"/>
        <v>0x0014</v>
      </c>
      <c r="U25" s="45"/>
      <c r="W25" s="11" t="str">
        <f t="shared" si="2"/>
        <v>0x0014</v>
      </c>
      <c r="X25" s="45"/>
      <c r="Y25" s="3"/>
      <c r="AB25" s="40">
        <v>22</v>
      </c>
      <c r="AC25" s="38" t="str">
        <f t="shared" si="0"/>
        <v>0x00000016</v>
      </c>
      <c r="AD25" s="42"/>
      <c r="AE25" s="2"/>
      <c r="AF25" s="2"/>
      <c r="AG25" s="2"/>
      <c r="AH25" s="1"/>
      <c r="AI25" s="38" t="str">
        <f t="shared" si="3"/>
        <v>0x00000014</v>
      </c>
      <c r="AJ25" s="42"/>
      <c r="AK25" s="2"/>
      <c r="AL25" s="83"/>
      <c r="AM25" s="84"/>
      <c r="AN25" s="84"/>
      <c r="AO25" s="84"/>
      <c r="AP25" s="85"/>
      <c r="AQ25" s="3"/>
      <c r="AR25" s="3"/>
    </row>
    <row r="26" spans="2:44" x14ac:dyDescent="0.3">
      <c r="B26" s="3"/>
      <c r="C26" s="2"/>
      <c r="D26" s="16"/>
      <c r="E26" s="17"/>
      <c r="F26" s="17"/>
      <c r="G26" s="17"/>
      <c r="H26" s="17"/>
      <c r="I26" s="17"/>
      <c r="J26" s="18"/>
      <c r="K26" s="2"/>
      <c r="L26" s="16"/>
      <c r="M26" s="17"/>
      <c r="N26" s="17"/>
      <c r="O26" s="17"/>
      <c r="P26" s="17"/>
      <c r="Q26" s="18"/>
      <c r="R26" s="2"/>
      <c r="S26" s="32">
        <v>21</v>
      </c>
      <c r="T26" s="34" t="str">
        <f t="shared" si="1"/>
        <v>0x0015</v>
      </c>
      <c r="U26" s="45"/>
      <c r="W26" s="11" t="str">
        <f t="shared" si="2"/>
        <v>0x0015</v>
      </c>
      <c r="X26" s="45"/>
      <c r="Y26" s="3"/>
      <c r="AB26" s="40">
        <v>23</v>
      </c>
      <c r="AC26" s="38" t="str">
        <f t="shared" si="0"/>
        <v>0x00000017</v>
      </c>
      <c r="AD26" s="42"/>
      <c r="AE26" s="2"/>
      <c r="AF26" s="2"/>
      <c r="AG26" s="2"/>
      <c r="AH26" s="1"/>
      <c r="AI26" s="38" t="str">
        <f t="shared" si="3"/>
        <v>0x00000015</v>
      </c>
      <c r="AJ26" s="42"/>
      <c r="AK26" s="2"/>
      <c r="AL26" s="83"/>
      <c r="AM26" s="84"/>
      <c r="AN26" s="84"/>
      <c r="AO26" s="84"/>
      <c r="AP26" s="85"/>
      <c r="AQ26" s="3"/>
      <c r="AR26" s="3"/>
    </row>
    <row r="27" spans="2:44" ht="15" thickBot="1" x14ac:dyDescent="0.35">
      <c r="B27" s="3"/>
      <c r="C27" s="2"/>
      <c r="D27" s="16"/>
      <c r="E27" s="17"/>
      <c r="F27" s="17"/>
      <c r="G27" s="17"/>
      <c r="H27" s="17"/>
      <c r="I27" s="17"/>
      <c r="J27" s="18"/>
      <c r="K27" s="2"/>
      <c r="L27" s="16"/>
      <c r="M27" s="17"/>
      <c r="N27" s="17"/>
      <c r="O27" s="17"/>
      <c r="P27" s="17"/>
      <c r="Q27" s="18"/>
      <c r="R27" s="2"/>
      <c r="S27" s="32">
        <v>22</v>
      </c>
      <c r="T27" s="34" t="str">
        <f t="shared" si="1"/>
        <v>0x0016</v>
      </c>
      <c r="U27" s="45"/>
      <c r="W27" s="11" t="str">
        <f t="shared" si="2"/>
        <v>0x0016</v>
      </c>
      <c r="X27" s="45"/>
      <c r="Y27" s="3"/>
      <c r="AB27" s="40">
        <v>24</v>
      </c>
      <c r="AC27" s="38" t="str">
        <f t="shared" si="0"/>
        <v>0x00000018</v>
      </c>
      <c r="AD27" s="42"/>
      <c r="AE27" s="2"/>
      <c r="AF27" s="2"/>
      <c r="AG27" s="2"/>
      <c r="AH27" s="1"/>
      <c r="AI27" s="38" t="str">
        <f t="shared" si="3"/>
        <v>0x00000016</v>
      </c>
      <c r="AJ27" s="42"/>
      <c r="AK27" s="2"/>
      <c r="AL27" s="83"/>
      <c r="AM27" s="84"/>
      <c r="AN27" s="84"/>
      <c r="AO27" s="84"/>
      <c r="AP27" s="85"/>
      <c r="AQ27" s="3"/>
      <c r="AR27" s="3"/>
    </row>
    <row r="28" spans="2:44" ht="18.600000000000001" thickBot="1" x14ac:dyDescent="0.4">
      <c r="B28" s="3"/>
      <c r="C28" s="2"/>
      <c r="D28" s="16"/>
      <c r="E28" s="28" t="s">
        <v>16</v>
      </c>
      <c r="F28" s="17"/>
      <c r="G28" s="17"/>
      <c r="H28" s="17"/>
      <c r="I28" s="17"/>
      <c r="J28" s="18"/>
      <c r="K28" s="2"/>
      <c r="L28" s="16"/>
      <c r="M28" s="17"/>
      <c r="N28" s="17"/>
      <c r="O28" s="17"/>
      <c r="P28" s="17"/>
      <c r="Q28" s="18"/>
      <c r="R28" s="2"/>
      <c r="S28" s="32">
        <v>23</v>
      </c>
      <c r="T28" s="34" t="str">
        <f t="shared" si="1"/>
        <v>0x0017</v>
      </c>
      <c r="U28" s="45"/>
      <c r="W28" s="11" t="str">
        <f t="shared" si="2"/>
        <v>0x0017</v>
      </c>
      <c r="X28" s="45"/>
      <c r="Y28" s="3"/>
      <c r="AB28" s="40">
        <v>25</v>
      </c>
      <c r="AC28" s="38" t="str">
        <f t="shared" si="0"/>
        <v>0x00000019</v>
      </c>
      <c r="AD28" s="42"/>
      <c r="AE28" s="2"/>
      <c r="AF28" s="2"/>
      <c r="AG28" s="2"/>
      <c r="AH28" s="1"/>
      <c r="AI28" s="38" t="str">
        <f t="shared" si="3"/>
        <v>0x00000017</v>
      </c>
      <c r="AJ28" s="42"/>
      <c r="AK28" s="2"/>
      <c r="AL28" s="83"/>
      <c r="AM28" s="84"/>
      <c r="AN28" s="84"/>
      <c r="AO28" s="84"/>
      <c r="AP28" s="85"/>
      <c r="AQ28" s="3"/>
      <c r="AR28" s="3"/>
    </row>
    <row r="29" spans="2:44" ht="18.600000000000001" thickBot="1" x14ac:dyDescent="0.35">
      <c r="B29" s="3"/>
      <c r="C29" s="2"/>
      <c r="D29" s="16"/>
      <c r="E29" s="52"/>
      <c r="F29" s="17"/>
      <c r="G29" s="17"/>
      <c r="H29" s="17"/>
      <c r="I29" s="17"/>
      <c r="J29" s="18"/>
      <c r="K29" s="2"/>
      <c r="L29" s="16"/>
      <c r="M29" s="17"/>
      <c r="N29" s="69" t="s">
        <v>29</v>
      </c>
      <c r="O29" s="70"/>
      <c r="P29" s="17"/>
      <c r="Q29" s="18"/>
      <c r="R29" s="2"/>
      <c r="S29" s="32">
        <v>24</v>
      </c>
      <c r="T29" s="34" t="str">
        <f t="shared" si="1"/>
        <v>0x0018</v>
      </c>
      <c r="U29" s="45"/>
      <c r="W29" s="11" t="str">
        <f t="shared" si="2"/>
        <v>0x0018</v>
      </c>
      <c r="X29" s="45"/>
      <c r="Y29" s="3"/>
      <c r="AB29" s="40">
        <v>26</v>
      </c>
      <c r="AC29" s="38" t="str">
        <f t="shared" si="0"/>
        <v>0x0000001A</v>
      </c>
      <c r="AD29" s="42"/>
      <c r="AE29" s="2"/>
      <c r="AF29" s="2"/>
      <c r="AG29" s="2"/>
      <c r="AH29" s="1"/>
      <c r="AI29" s="38" t="str">
        <f t="shared" si="3"/>
        <v>0x00000018</v>
      </c>
      <c r="AJ29" s="42"/>
      <c r="AK29" s="2"/>
      <c r="AL29" s="83"/>
      <c r="AM29" s="84"/>
      <c r="AN29" s="84"/>
      <c r="AO29" s="84"/>
      <c r="AP29" s="85"/>
      <c r="AQ29" s="3"/>
      <c r="AR29" s="3"/>
    </row>
    <row r="30" spans="2:44" ht="15" thickBot="1" x14ac:dyDescent="0.35">
      <c r="B30" s="3"/>
      <c r="C30" s="2"/>
      <c r="D30" s="16"/>
      <c r="E30" s="17"/>
      <c r="F30" s="17"/>
      <c r="G30" s="17"/>
      <c r="H30" s="17"/>
      <c r="I30" s="17"/>
      <c r="J30" s="18"/>
      <c r="K30" s="2"/>
      <c r="L30" s="16"/>
      <c r="M30" s="17"/>
      <c r="N30" s="67"/>
      <c r="O30" s="68"/>
      <c r="P30" s="17"/>
      <c r="Q30" s="18"/>
      <c r="R30" s="2"/>
      <c r="S30" s="32">
        <v>25</v>
      </c>
      <c r="T30" s="34" t="str">
        <f t="shared" si="1"/>
        <v>0x0019</v>
      </c>
      <c r="U30" s="45"/>
      <c r="W30" s="11" t="str">
        <f t="shared" si="2"/>
        <v>0x0019</v>
      </c>
      <c r="X30" s="45"/>
      <c r="Y30" s="3"/>
      <c r="AB30" s="40">
        <v>27</v>
      </c>
      <c r="AC30" s="38" t="str">
        <f t="shared" si="0"/>
        <v>0x0000001B</v>
      </c>
      <c r="AD30" s="42"/>
      <c r="AE30" s="2"/>
      <c r="AF30" s="2"/>
      <c r="AG30" s="2"/>
      <c r="AH30" s="1"/>
      <c r="AI30" s="38" t="str">
        <f t="shared" si="3"/>
        <v>0x00000019</v>
      </c>
      <c r="AJ30" s="42"/>
      <c r="AK30" s="2"/>
      <c r="AL30" s="83"/>
      <c r="AM30" s="84"/>
      <c r="AN30" s="84"/>
      <c r="AO30" s="84"/>
      <c r="AP30" s="85"/>
      <c r="AQ30" s="3"/>
      <c r="AR30" s="3"/>
    </row>
    <row r="31" spans="2:44" x14ac:dyDescent="0.3">
      <c r="B31" s="3"/>
      <c r="C31" s="2"/>
      <c r="D31" s="16"/>
      <c r="E31" s="17"/>
      <c r="F31" s="17"/>
      <c r="G31" s="17"/>
      <c r="H31" s="17"/>
      <c r="I31" s="17"/>
      <c r="J31" s="18"/>
      <c r="K31" s="2"/>
      <c r="L31" s="16"/>
      <c r="M31" s="17"/>
      <c r="N31" s="17"/>
      <c r="O31" s="17"/>
      <c r="P31" s="17"/>
      <c r="Q31" s="18"/>
      <c r="R31" s="2"/>
      <c r="S31" s="32">
        <v>26</v>
      </c>
      <c r="T31" s="34" t="str">
        <f t="shared" si="1"/>
        <v>0x001A</v>
      </c>
      <c r="U31" s="45"/>
      <c r="W31" s="11" t="str">
        <f t="shared" si="2"/>
        <v>0x001A</v>
      </c>
      <c r="X31" s="45"/>
      <c r="Y31" s="3"/>
      <c r="AB31" s="40">
        <v>28</v>
      </c>
      <c r="AC31" s="38" t="str">
        <f t="shared" si="0"/>
        <v>0x0000001C</v>
      </c>
      <c r="AD31" s="42"/>
      <c r="AE31" s="2"/>
      <c r="AF31" s="2"/>
      <c r="AG31" s="2"/>
      <c r="AH31" s="1"/>
      <c r="AI31" s="38" t="str">
        <f t="shared" si="3"/>
        <v>0x0000001A</v>
      </c>
      <c r="AJ31" s="42"/>
      <c r="AK31" s="2"/>
      <c r="AL31" s="83"/>
      <c r="AM31" s="84"/>
      <c r="AN31" s="84"/>
      <c r="AO31" s="84"/>
      <c r="AP31" s="85"/>
      <c r="AQ31" s="3"/>
      <c r="AR31" s="3"/>
    </row>
    <row r="32" spans="2:44" x14ac:dyDescent="0.3">
      <c r="B32" s="3"/>
      <c r="C32" s="2"/>
      <c r="D32" s="16"/>
      <c r="E32" s="17"/>
      <c r="F32" s="17"/>
      <c r="G32" s="17"/>
      <c r="H32" s="17"/>
      <c r="I32" s="17"/>
      <c r="J32" s="18"/>
      <c r="K32" s="2"/>
      <c r="L32" s="16"/>
      <c r="M32" s="17"/>
      <c r="N32" s="17"/>
      <c r="O32" s="17"/>
      <c r="P32" s="17"/>
      <c r="Q32" s="18"/>
      <c r="R32" s="2"/>
      <c r="S32" s="32">
        <v>27</v>
      </c>
      <c r="T32" s="34" t="str">
        <f t="shared" si="1"/>
        <v>0x001B</v>
      </c>
      <c r="U32" s="45"/>
      <c r="W32" s="11" t="str">
        <f t="shared" si="2"/>
        <v>0x001B</v>
      </c>
      <c r="X32" s="45"/>
      <c r="Y32" s="3"/>
      <c r="AB32" s="40">
        <v>29</v>
      </c>
      <c r="AC32" s="38" t="str">
        <f t="shared" si="0"/>
        <v>0x0000001D</v>
      </c>
      <c r="AD32" s="42"/>
      <c r="AE32" s="2"/>
      <c r="AF32" s="2"/>
      <c r="AG32" s="2"/>
      <c r="AH32" s="1"/>
      <c r="AI32" s="38" t="str">
        <f t="shared" si="3"/>
        <v>0x0000001B</v>
      </c>
      <c r="AJ32" s="42"/>
      <c r="AK32" s="2"/>
      <c r="AL32" s="83"/>
      <c r="AM32" s="84"/>
      <c r="AN32" s="84"/>
      <c r="AO32" s="84"/>
      <c r="AP32" s="85"/>
      <c r="AQ32" s="3"/>
      <c r="AR32" s="3"/>
    </row>
    <row r="33" spans="2:44" x14ac:dyDescent="0.3">
      <c r="B33" s="3"/>
      <c r="C33" s="2"/>
      <c r="D33" s="16"/>
      <c r="E33" s="17"/>
      <c r="F33" s="17"/>
      <c r="G33" s="17"/>
      <c r="H33" s="17"/>
      <c r="I33" s="17"/>
      <c r="J33" s="18"/>
      <c r="K33" s="2"/>
      <c r="L33" s="16"/>
      <c r="M33" s="17"/>
      <c r="N33" s="17"/>
      <c r="O33" s="17"/>
      <c r="P33" s="17"/>
      <c r="Q33" s="18"/>
      <c r="R33" s="2"/>
      <c r="S33" s="32">
        <v>28</v>
      </c>
      <c r="T33" s="34" t="str">
        <f t="shared" si="1"/>
        <v>0x001C</v>
      </c>
      <c r="U33" s="45"/>
      <c r="W33" s="11" t="str">
        <f t="shared" si="2"/>
        <v>0x001C</v>
      </c>
      <c r="X33" s="45"/>
      <c r="Y33" s="3"/>
      <c r="AB33" s="40">
        <v>30</v>
      </c>
      <c r="AC33" s="38" t="str">
        <f t="shared" si="0"/>
        <v>0x0000001E</v>
      </c>
      <c r="AD33" s="42"/>
      <c r="AE33" s="2"/>
      <c r="AF33" s="2"/>
      <c r="AG33" s="2"/>
      <c r="AH33" s="1"/>
      <c r="AI33" s="38" t="str">
        <f t="shared" si="3"/>
        <v>0x0000001C</v>
      </c>
      <c r="AJ33" s="42"/>
      <c r="AK33" s="2"/>
      <c r="AL33" s="83"/>
      <c r="AM33" s="84"/>
      <c r="AN33" s="84"/>
      <c r="AO33" s="84"/>
      <c r="AP33" s="85"/>
      <c r="AQ33" s="3"/>
      <c r="AR33" s="3"/>
    </row>
    <row r="34" spans="2:44" ht="15" thickBot="1" x14ac:dyDescent="0.35">
      <c r="B34" s="3"/>
      <c r="C34" s="2"/>
      <c r="D34" s="16"/>
      <c r="E34" s="17"/>
      <c r="F34" s="17"/>
      <c r="G34" s="17"/>
      <c r="H34" s="17"/>
      <c r="I34" s="17"/>
      <c r="J34" s="18"/>
      <c r="K34" s="2"/>
      <c r="L34" s="16"/>
      <c r="M34" s="17"/>
      <c r="N34" s="17"/>
      <c r="O34" s="17"/>
      <c r="P34" s="17"/>
      <c r="Q34" s="18"/>
      <c r="R34" s="2"/>
      <c r="S34" s="32">
        <v>29</v>
      </c>
      <c r="T34" s="34" t="str">
        <f t="shared" si="1"/>
        <v>0x001D</v>
      </c>
      <c r="U34" s="45"/>
      <c r="W34" s="11" t="str">
        <f t="shared" si="2"/>
        <v>0x001D</v>
      </c>
      <c r="X34" s="45"/>
      <c r="Y34" s="3"/>
      <c r="AB34" s="40">
        <v>31</v>
      </c>
      <c r="AC34" s="38" t="str">
        <f t="shared" si="0"/>
        <v>0x0000001F</v>
      </c>
      <c r="AD34" s="42"/>
      <c r="AE34" s="2"/>
      <c r="AF34" s="2"/>
      <c r="AG34" s="2"/>
      <c r="AH34" s="1"/>
      <c r="AI34" s="38" t="str">
        <f t="shared" si="3"/>
        <v>0x0000001D</v>
      </c>
      <c r="AJ34" s="42"/>
      <c r="AK34" s="2"/>
      <c r="AL34" s="83"/>
      <c r="AM34" s="84"/>
      <c r="AN34" s="84"/>
      <c r="AO34" s="84"/>
      <c r="AP34" s="85"/>
      <c r="AQ34" s="3"/>
      <c r="AR34" s="3"/>
    </row>
    <row r="35" spans="2:44" ht="18.600000000000001" thickBot="1" x14ac:dyDescent="0.4">
      <c r="B35" s="3"/>
      <c r="C35" s="2"/>
      <c r="D35" s="16"/>
      <c r="E35" s="17"/>
      <c r="F35" s="17"/>
      <c r="G35" s="17"/>
      <c r="H35" s="17"/>
      <c r="I35" s="17"/>
      <c r="J35" s="18"/>
      <c r="K35" s="2"/>
      <c r="L35" s="16"/>
      <c r="M35" s="17"/>
      <c r="N35" s="53" t="s">
        <v>22</v>
      </c>
      <c r="O35" s="57"/>
      <c r="P35" s="17"/>
      <c r="Q35" s="18"/>
      <c r="R35" s="2"/>
      <c r="S35" s="32">
        <v>30</v>
      </c>
      <c r="T35" s="34" t="str">
        <f t="shared" si="1"/>
        <v>0x001E</v>
      </c>
      <c r="U35" s="45"/>
      <c r="W35" s="11" t="str">
        <f t="shared" si="2"/>
        <v>0x001E</v>
      </c>
      <c r="X35" s="45"/>
      <c r="Y35" s="3"/>
      <c r="AB35" s="40">
        <v>32</v>
      </c>
      <c r="AC35" s="38" t="str">
        <f t="shared" si="0"/>
        <v>0x00000020</v>
      </c>
      <c r="AD35" s="42"/>
      <c r="AE35" s="2"/>
      <c r="AF35" s="2"/>
      <c r="AG35" s="2"/>
      <c r="AH35" s="1"/>
      <c r="AI35" s="38" t="str">
        <f t="shared" si="3"/>
        <v>0x0000001E</v>
      </c>
      <c r="AJ35" s="42"/>
      <c r="AK35" s="2"/>
      <c r="AL35" s="83"/>
      <c r="AM35" s="84"/>
      <c r="AN35" s="84"/>
      <c r="AO35" s="84"/>
      <c r="AP35" s="85"/>
      <c r="AQ35" s="3"/>
      <c r="AR35" s="3"/>
    </row>
    <row r="36" spans="2:44" ht="15" thickBot="1" x14ac:dyDescent="0.35">
      <c r="B36" s="3"/>
      <c r="C36" s="2"/>
      <c r="D36" s="16"/>
      <c r="E36" s="17"/>
      <c r="F36" s="17"/>
      <c r="G36" s="17"/>
      <c r="H36" s="17"/>
      <c r="I36" s="17"/>
      <c r="J36" s="18"/>
      <c r="K36" s="2"/>
      <c r="L36" s="16"/>
      <c r="M36" s="17"/>
      <c r="N36" s="67"/>
      <c r="O36" s="68"/>
      <c r="P36" s="17"/>
      <c r="Q36" s="18"/>
      <c r="R36" s="2"/>
      <c r="S36" s="32">
        <v>31</v>
      </c>
      <c r="T36" s="34" t="str">
        <f t="shared" si="1"/>
        <v>0x001F</v>
      </c>
      <c r="U36" s="45"/>
      <c r="W36" s="11" t="str">
        <f t="shared" si="2"/>
        <v>0x001F</v>
      </c>
      <c r="X36" s="45"/>
      <c r="Y36" s="3"/>
      <c r="AB36" s="40">
        <v>33</v>
      </c>
      <c r="AC36" s="38" t="str">
        <f t="shared" si="0"/>
        <v>0x00000021</v>
      </c>
      <c r="AD36" s="42"/>
      <c r="AE36" s="2"/>
      <c r="AF36" s="2"/>
      <c r="AG36" s="2"/>
      <c r="AH36" s="1"/>
      <c r="AI36" s="38" t="str">
        <f t="shared" si="3"/>
        <v>0x0000001F</v>
      </c>
      <c r="AJ36" s="42"/>
      <c r="AK36" s="2"/>
      <c r="AL36" s="83"/>
      <c r="AM36" s="84"/>
      <c r="AN36" s="84"/>
      <c r="AO36" s="84"/>
      <c r="AP36" s="85"/>
      <c r="AQ36" s="3"/>
      <c r="AR36" s="3"/>
    </row>
    <row r="37" spans="2:44" x14ac:dyDescent="0.3">
      <c r="B37" s="3"/>
      <c r="C37" s="2"/>
      <c r="D37" s="16"/>
      <c r="E37" s="17"/>
      <c r="F37" s="17"/>
      <c r="G37" s="17"/>
      <c r="H37" s="17"/>
      <c r="I37" s="17"/>
      <c r="J37" s="18"/>
      <c r="K37" s="2"/>
      <c r="L37" s="16"/>
      <c r="M37" s="17"/>
      <c r="N37" s="17"/>
      <c r="O37" s="17"/>
      <c r="P37" s="17"/>
      <c r="Q37" s="18"/>
      <c r="R37" s="2"/>
      <c r="S37" s="32">
        <v>32</v>
      </c>
      <c r="T37" s="34" t="str">
        <f t="shared" si="1"/>
        <v>0x0020</v>
      </c>
      <c r="U37" s="45"/>
      <c r="W37" s="11" t="str">
        <f t="shared" si="2"/>
        <v>0x0020</v>
      </c>
      <c r="X37" s="45"/>
      <c r="Y37" s="3"/>
      <c r="AB37" s="40">
        <v>34</v>
      </c>
      <c r="AC37" s="38" t="str">
        <f t="shared" si="0"/>
        <v>0x00000022</v>
      </c>
      <c r="AD37" s="42"/>
      <c r="AE37" s="2"/>
      <c r="AF37" s="2"/>
      <c r="AG37" s="2"/>
      <c r="AH37" s="1"/>
      <c r="AI37" s="38" t="str">
        <f t="shared" si="3"/>
        <v>0x00000020</v>
      </c>
      <c r="AJ37" s="42"/>
      <c r="AK37" s="2"/>
      <c r="AL37" s="83"/>
      <c r="AM37" s="84"/>
      <c r="AN37" s="84"/>
      <c r="AO37" s="84"/>
      <c r="AP37" s="85"/>
      <c r="AQ37" s="3"/>
      <c r="AR37" s="3"/>
    </row>
    <row r="38" spans="2:44" ht="15" thickBot="1" x14ac:dyDescent="0.35">
      <c r="B38" s="3"/>
      <c r="C38" s="2"/>
      <c r="D38" s="16"/>
      <c r="E38" s="17"/>
      <c r="F38" s="17"/>
      <c r="G38" s="17"/>
      <c r="H38" s="17"/>
      <c r="I38" s="17"/>
      <c r="J38" s="18"/>
      <c r="K38" s="2"/>
      <c r="L38" s="16"/>
      <c r="M38" s="17"/>
      <c r="N38" s="17"/>
      <c r="O38" s="17"/>
      <c r="P38" s="17"/>
      <c r="Q38" s="18"/>
      <c r="R38" s="2"/>
      <c r="S38" s="32">
        <v>33</v>
      </c>
      <c r="T38" s="34" t="str">
        <f t="shared" si="1"/>
        <v>0x0021</v>
      </c>
      <c r="U38" s="45"/>
      <c r="W38" s="11" t="str">
        <f t="shared" si="2"/>
        <v>0x0021</v>
      </c>
      <c r="X38" s="45"/>
      <c r="Y38" s="3"/>
      <c r="AB38" s="40">
        <v>35</v>
      </c>
      <c r="AC38" s="38" t="str">
        <f t="shared" si="0"/>
        <v>0x00000023</v>
      </c>
      <c r="AD38" s="42"/>
      <c r="AE38" s="2"/>
      <c r="AF38" s="2"/>
      <c r="AG38" s="2"/>
      <c r="AH38" s="1"/>
      <c r="AI38" s="38" t="str">
        <f t="shared" si="3"/>
        <v>0x00000021</v>
      </c>
      <c r="AJ38" s="42"/>
      <c r="AK38" s="2"/>
      <c r="AL38" s="83"/>
      <c r="AM38" s="84"/>
      <c r="AN38" s="84"/>
      <c r="AO38" s="84"/>
      <c r="AP38" s="85"/>
      <c r="AQ38" s="3"/>
      <c r="AR38" s="3"/>
    </row>
    <row r="39" spans="2:44" ht="18.600000000000001" thickBot="1" x14ac:dyDescent="0.4">
      <c r="B39" s="3"/>
      <c r="C39" s="2"/>
      <c r="D39" s="16"/>
      <c r="E39" s="17"/>
      <c r="F39" s="17"/>
      <c r="G39" s="17"/>
      <c r="H39" s="17"/>
      <c r="I39" s="17"/>
      <c r="J39" s="18"/>
      <c r="K39" s="2"/>
      <c r="L39" s="16"/>
      <c r="M39" s="17"/>
      <c r="N39" s="53" t="s">
        <v>23</v>
      </c>
      <c r="O39" s="54"/>
      <c r="P39" s="17"/>
      <c r="Q39" s="18"/>
      <c r="R39" s="2"/>
      <c r="S39" s="32">
        <v>34</v>
      </c>
      <c r="T39" s="34" t="str">
        <f t="shared" si="1"/>
        <v>0x0022</v>
      </c>
      <c r="U39" s="45"/>
      <c r="W39" s="11" t="str">
        <f t="shared" si="2"/>
        <v>0x0022</v>
      </c>
      <c r="X39" s="45"/>
      <c r="Y39" s="3"/>
      <c r="AB39" s="40">
        <v>36</v>
      </c>
      <c r="AC39" s="38" t="str">
        <f t="shared" si="0"/>
        <v>0x00000024</v>
      </c>
      <c r="AD39" s="42"/>
      <c r="AE39" s="2"/>
      <c r="AF39" s="2"/>
      <c r="AG39" s="2"/>
      <c r="AH39" s="1"/>
      <c r="AI39" s="38" t="str">
        <f t="shared" si="3"/>
        <v>0x00000022</v>
      </c>
      <c r="AJ39" s="42"/>
      <c r="AK39" s="2"/>
      <c r="AL39" s="83"/>
      <c r="AM39" s="84"/>
      <c r="AN39" s="84"/>
      <c r="AO39" s="84"/>
      <c r="AP39" s="85"/>
      <c r="AQ39" s="3"/>
      <c r="AR39" s="3"/>
    </row>
    <row r="40" spans="2:44" ht="15" thickBot="1" x14ac:dyDescent="0.35">
      <c r="B40" s="3"/>
      <c r="C40" s="2"/>
      <c r="D40" s="16"/>
      <c r="E40" s="17"/>
      <c r="F40" s="17"/>
      <c r="G40" s="17"/>
      <c r="H40" s="17"/>
      <c r="I40" s="17"/>
      <c r="J40" s="18"/>
      <c r="K40" s="2"/>
      <c r="L40" s="16"/>
      <c r="M40" s="17"/>
      <c r="N40" s="67"/>
      <c r="O40" s="68"/>
      <c r="P40" s="17"/>
      <c r="Q40" s="18"/>
      <c r="R40" s="2"/>
      <c r="S40" s="32">
        <v>35</v>
      </c>
      <c r="T40" s="34" t="str">
        <f t="shared" si="1"/>
        <v>0x0023</v>
      </c>
      <c r="U40" s="45"/>
      <c r="W40" s="11" t="str">
        <f t="shared" si="2"/>
        <v>0x0023</v>
      </c>
      <c r="X40" s="45"/>
      <c r="Y40" s="3"/>
      <c r="AB40" s="40">
        <v>37</v>
      </c>
      <c r="AC40" s="38" t="str">
        <f t="shared" si="0"/>
        <v>0x00000025</v>
      </c>
      <c r="AD40" s="42"/>
      <c r="AE40" s="2"/>
      <c r="AF40" s="2"/>
      <c r="AG40" s="2"/>
      <c r="AH40" s="1"/>
      <c r="AI40" s="38" t="str">
        <f t="shared" si="3"/>
        <v>0x00000023</v>
      </c>
      <c r="AJ40" s="42"/>
      <c r="AK40" s="2"/>
      <c r="AL40" s="83"/>
      <c r="AM40" s="84"/>
      <c r="AN40" s="84"/>
      <c r="AO40" s="84"/>
      <c r="AP40" s="85"/>
      <c r="AQ40" s="3"/>
      <c r="AR40" s="3"/>
    </row>
    <row r="41" spans="2:44" x14ac:dyDescent="0.3">
      <c r="B41" s="3"/>
      <c r="C41" s="2"/>
      <c r="D41" s="16"/>
      <c r="E41" s="17"/>
      <c r="F41" s="17"/>
      <c r="G41" s="17"/>
      <c r="H41" s="17"/>
      <c r="I41" s="17"/>
      <c r="J41" s="18"/>
      <c r="K41" s="2"/>
      <c r="L41" s="16"/>
      <c r="M41" s="17"/>
      <c r="N41" s="17"/>
      <c r="O41" s="17"/>
      <c r="P41" s="17"/>
      <c r="Q41" s="18"/>
      <c r="R41" s="2"/>
      <c r="S41" s="32">
        <v>36</v>
      </c>
      <c r="T41" s="34" t="str">
        <f t="shared" si="1"/>
        <v>0x0024</v>
      </c>
      <c r="U41" s="45"/>
      <c r="W41" s="11" t="str">
        <f t="shared" si="2"/>
        <v>0x0024</v>
      </c>
      <c r="X41" s="45"/>
      <c r="Y41" s="3"/>
      <c r="AB41" s="40">
        <v>38</v>
      </c>
      <c r="AC41" s="38" t="str">
        <f t="shared" si="0"/>
        <v>0x00000026</v>
      </c>
      <c r="AD41" s="42"/>
      <c r="AE41" s="2"/>
      <c r="AF41" s="2"/>
      <c r="AG41" s="2"/>
      <c r="AH41" s="1"/>
      <c r="AI41" s="38" t="str">
        <f t="shared" si="3"/>
        <v>0x00000024</v>
      </c>
      <c r="AJ41" s="42"/>
      <c r="AK41" s="2"/>
      <c r="AL41" s="83"/>
      <c r="AM41" s="84"/>
      <c r="AN41" s="84"/>
      <c r="AO41" s="84"/>
      <c r="AP41" s="85"/>
      <c r="AQ41" s="3"/>
      <c r="AR41" s="3"/>
    </row>
    <row r="42" spans="2:44" ht="15" thickBot="1" x14ac:dyDescent="0.35">
      <c r="B42" s="3"/>
      <c r="C42" s="2"/>
      <c r="D42" s="16"/>
      <c r="E42" s="17"/>
      <c r="F42" s="17"/>
      <c r="G42" s="17"/>
      <c r="H42" s="17"/>
      <c r="I42" s="17"/>
      <c r="J42" s="18"/>
      <c r="K42" s="2"/>
      <c r="L42" s="25"/>
      <c r="M42" s="26"/>
      <c r="N42" s="26"/>
      <c r="O42" s="26"/>
      <c r="P42" s="26"/>
      <c r="Q42" s="27"/>
      <c r="R42" s="2"/>
      <c r="S42" s="32">
        <v>37</v>
      </c>
      <c r="T42" s="35" t="str">
        <f t="shared" si="1"/>
        <v>0x0025</v>
      </c>
      <c r="U42" s="49"/>
      <c r="W42" s="36" t="str">
        <f t="shared" si="2"/>
        <v>0x0025</v>
      </c>
      <c r="X42" s="46"/>
      <c r="Y42" s="3"/>
      <c r="AB42" s="40">
        <v>39</v>
      </c>
      <c r="AC42" s="38" t="str">
        <f t="shared" si="0"/>
        <v>0x00000027</v>
      </c>
      <c r="AD42" s="42"/>
      <c r="AE42" s="2"/>
      <c r="AF42" s="2"/>
      <c r="AG42" s="2"/>
      <c r="AH42" s="1"/>
      <c r="AI42" s="38" t="str">
        <f t="shared" si="3"/>
        <v>0x00000025</v>
      </c>
      <c r="AJ42" s="42"/>
      <c r="AK42" s="2"/>
      <c r="AL42" s="83"/>
      <c r="AM42" s="84"/>
      <c r="AN42" s="84"/>
      <c r="AO42" s="84"/>
      <c r="AP42" s="85"/>
      <c r="AQ42" s="3"/>
      <c r="AR42" s="3"/>
    </row>
    <row r="43" spans="2:44" ht="15" thickBot="1" x14ac:dyDescent="0.35">
      <c r="B43" s="3"/>
      <c r="C43" s="2"/>
      <c r="D43" s="25"/>
      <c r="E43" s="26"/>
      <c r="F43" s="26"/>
      <c r="G43" s="26"/>
      <c r="H43" s="26"/>
      <c r="I43" s="26"/>
      <c r="J43" s="27"/>
      <c r="K43" s="2"/>
      <c r="L43" s="2"/>
      <c r="M43" s="2"/>
      <c r="N43" s="2"/>
      <c r="O43" s="2"/>
      <c r="P43" s="2"/>
      <c r="Q43" s="2"/>
      <c r="R43" s="2"/>
      <c r="S43" s="32">
        <v>38</v>
      </c>
      <c r="W43" s="36" t="str">
        <f t="shared" si="2"/>
        <v>0x0026</v>
      </c>
      <c r="X43" s="47"/>
      <c r="Y43" s="3"/>
      <c r="AB43" s="40">
        <v>40</v>
      </c>
      <c r="AC43" s="38" t="str">
        <f t="shared" si="0"/>
        <v>0x00000028</v>
      </c>
      <c r="AD43" s="42"/>
      <c r="AE43" s="2"/>
      <c r="AF43" s="2"/>
      <c r="AG43" s="2"/>
      <c r="AH43" s="1"/>
      <c r="AI43" s="38" t="str">
        <f t="shared" si="3"/>
        <v>0x00000026</v>
      </c>
      <c r="AJ43" s="42"/>
      <c r="AK43" s="2"/>
      <c r="AL43" s="83"/>
      <c r="AM43" s="84"/>
      <c r="AN43" s="84"/>
      <c r="AO43" s="84"/>
      <c r="AP43" s="85"/>
      <c r="AQ43" s="3"/>
      <c r="AR43" s="3"/>
    </row>
    <row r="44" spans="2:44" x14ac:dyDescent="0.3">
      <c r="B44" s="3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32">
        <v>39</v>
      </c>
      <c r="W44" s="36" t="str">
        <f t="shared" si="2"/>
        <v>0x0027</v>
      </c>
      <c r="X44" s="47"/>
      <c r="Y44" s="3"/>
      <c r="AB44" s="40">
        <v>41</v>
      </c>
      <c r="AC44" s="38" t="str">
        <f t="shared" si="0"/>
        <v>0x00000029</v>
      </c>
      <c r="AD44" s="42"/>
      <c r="AE44" s="2"/>
      <c r="AF44" s="2"/>
      <c r="AG44" s="2"/>
      <c r="AH44" s="1"/>
      <c r="AI44" s="38" t="str">
        <f t="shared" si="3"/>
        <v>0x00000027</v>
      </c>
      <c r="AJ44" s="42"/>
      <c r="AK44" s="2"/>
      <c r="AL44" s="83"/>
      <c r="AM44" s="84"/>
      <c r="AN44" s="84"/>
      <c r="AO44" s="84"/>
      <c r="AP44" s="85"/>
      <c r="AQ44" s="3"/>
      <c r="AR44" s="3"/>
    </row>
    <row r="45" spans="2:44" x14ac:dyDescent="0.3">
      <c r="B45" s="3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32">
        <v>40</v>
      </c>
      <c r="T45" s="2"/>
      <c r="U45" s="2"/>
      <c r="V45" s="2"/>
      <c r="W45" s="36" t="str">
        <f t="shared" si="2"/>
        <v>0x0028</v>
      </c>
      <c r="X45" s="47"/>
      <c r="Y45" s="3"/>
      <c r="AB45" s="40">
        <v>42</v>
      </c>
      <c r="AC45" s="38" t="str">
        <f t="shared" si="0"/>
        <v>0x0000002A</v>
      </c>
      <c r="AD45" s="42"/>
      <c r="AE45" s="2"/>
      <c r="AF45" s="2"/>
      <c r="AG45" s="2"/>
      <c r="AH45" s="1"/>
      <c r="AI45" s="38" t="str">
        <f t="shared" si="3"/>
        <v>0x00000028</v>
      </c>
      <c r="AJ45" s="42"/>
      <c r="AK45" s="2"/>
      <c r="AL45" s="83"/>
      <c r="AM45" s="84"/>
      <c r="AN45" s="84"/>
      <c r="AO45" s="84"/>
      <c r="AP45" s="85"/>
      <c r="AQ45" s="3"/>
      <c r="AR45" s="3"/>
    </row>
    <row r="46" spans="2:44" x14ac:dyDescent="0.3">
      <c r="B46" s="3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32">
        <v>41</v>
      </c>
      <c r="T46" s="2"/>
      <c r="U46" s="2"/>
      <c r="V46" s="2"/>
      <c r="W46" s="36" t="str">
        <f t="shared" si="2"/>
        <v>0x0029</v>
      </c>
      <c r="X46" s="47"/>
      <c r="Y46" s="3"/>
      <c r="AB46" s="40">
        <v>43</v>
      </c>
      <c r="AC46" s="38" t="str">
        <f t="shared" si="0"/>
        <v>0x0000002B</v>
      </c>
      <c r="AD46" s="42"/>
      <c r="AE46" s="2"/>
      <c r="AF46" s="2"/>
      <c r="AG46" s="2"/>
      <c r="AH46" s="1"/>
      <c r="AI46" s="38" t="str">
        <f t="shared" si="3"/>
        <v>0x00000029</v>
      </c>
      <c r="AJ46" s="42"/>
      <c r="AK46" s="2"/>
      <c r="AL46" s="83"/>
      <c r="AM46" s="84"/>
      <c r="AN46" s="84"/>
      <c r="AO46" s="84"/>
      <c r="AP46" s="85"/>
      <c r="AQ46" s="3"/>
      <c r="AR46" s="3"/>
    </row>
    <row r="47" spans="2:44" x14ac:dyDescent="0.3">
      <c r="B47" s="3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32">
        <v>42</v>
      </c>
      <c r="T47" s="2"/>
      <c r="U47" s="2"/>
      <c r="V47" s="2"/>
      <c r="W47" s="36" t="str">
        <f t="shared" si="2"/>
        <v>0x002A</v>
      </c>
      <c r="X47" s="47"/>
      <c r="Y47" s="3"/>
      <c r="AB47" s="40">
        <v>44</v>
      </c>
      <c r="AC47" s="38" t="str">
        <f t="shared" si="0"/>
        <v>0x0000002C</v>
      </c>
      <c r="AD47" s="42"/>
      <c r="AE47" s="2"/>
      <c r="AF47" s="2"/>
      <c r="AG47" s="2"/>
      <c r="AH47" s="1"/>
      <c r="AI47" s="38" t="str">
        <f t="shared" si="3"/>
        <v>0x0000002A</v>
      </c>
      <c r="AJ47" s="42"/>
      <c r="AK47" s="2"/>
      <c r="AL47" s="83"/>
      <c r="AM47" s="84"/>
      <c r="AN47" s="84"/>
      <c r="AO47" s="84"/>
      <c r="AP47" s="85"/>
      <c r="AQ47" s="3"/>
      <c r="AR47" s="3"/>
    </row>
    <row r="48" spans="2:44" x14ac:dyDescent="0.3">
      <c r="B48" s="3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32">
        <v>43</v>
      </c>
      <c r="T48" s="2"/>
      <c r="U48" s="2"/>
      <c r="V48" s="2"/>
      <c r="W48" s="36" t="str">
        <f t="shared" si="2"/>
        <v>0x002B</v>
      </c>
      <c r="X48" s="47"/>
      <c r="Y48" s="3"/>
      <c r="AB48" s="40">
        <v>45</v>
      </c>
      <c r="AC48" s="38" t="str">
        <f t="shared" si="0"/>
        <v>0x0000002D</v>
      </c>
      <c r="AD48" s="42"/>
      <c r="AE48" s="2"/>
      <c r="AF48" s="2"/>
      <c r="AG48" s="2"/>
      <c r="AH48" s="1"/>
      <c r="AI48" s="38" t="str">
        <f t="shared" si="3"/>
        <v>0x0000002B</v>
      </c>
      <c r="AJ48" s="42"/>
      <c r="AK48" s="2"/>
      <c r="AL48" s="83"/>
      <c r="AM48" s="84"/>
      <c r="AN48" s="84"/>
      <c r="AO48" s="84"/>
      <c r="AP48" s="85"/>
      <c r="AQ48" s="3"/>
      <c r="AR48" s="3"/>
    </row>
    <row r="49" spans="2:44" x14ac:dyDescent="0.3">
      <c r="B49" s="3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32">
        <v>44</v>
      </c>
      <c r="T49" s="2"/>
      <c r="U49" s="2"/>
      <c r="V49" s="2"/>
      <c r="W49" s="36" t="str">
        <f t="shared" si="2"/>
        <v>0x002C</v>
      </c>
      <c r="X49" s="47"/>
      <c r="Y49" s="3"/>
      <c r="AB49" s="40">
        <v>46</v>
      </c>
      <c r="AC49" s="38" t="str">
        <f t="shared" si="0"/>
        <v>0x0000002E</v>
      </c>
      <c r="AD49" s="42"/>
      <c r="AE49" s="2"/>
      <c r="AF49" s="2"/>
      <c r="AG49" s="2"/>
      <c r="AH49" s="1"/>
      <c r="AI49" s="38" t="str">
        <f t="shared" si="3"/>
        <v>0x0000002C</v>
      </c>
      <c r="AJ49" s="42"/>
      <c r="AK49" s="2"/>
      <c r="AL49" s="83"/>
      <c r="AM49" s="84"/>
      <c r="AN49" s="84"/>
      <c r="AO49" s="84"/>
      <c r="AP49" s="85"/>
      <c r="AQ49" s="3"/>
      <c r="AR49" s="3"/>
    </row>
    <row r="50" spans="2:44" x14ac:dyDescent="0.3">
      <c r="B50" s="3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32">
        <v>45</v>
      </c>
      <c r="T50" s="2"/>
      <c r="U50" s="2"/>
      <c r="V50" s="2"/>
      <c r="W50" s="36" t="str">
        <f t="shared" si="2"/>
        <v>0x002D</v>
      </c>
      <c r="X50" s="47"/>
      <c r="Y50" s="3"/>
      <c r="AB50" s="40">
        <v>47</v>
      </c>
      <c r="AC50" s="38" t="str">
        <f t="shared" si="0"/>
        <v>0x0000002F</v>
      </c>
      <c r="AD50" s="42"/>
      <c r="AE50" s="2"/>
      <c r="AF50" s="2"/>
      <c r="AG50" s="2"/>
      <c r="AH50" s="1"/>
      <c r="AI50" s="38" t="str">
        <f t="shared" si="3"/>
        <v>0x0000002D</v>
      </c>
      <c r="AJ50" s="42"/>
      <c r="AK50" s="2"/>
      <c r="AL50" s="83"/>
      <c r="AM50" s="84"/>
      <c r="AN50" s="84"/>
      <c r="AO50" s="84"/>
      <c r="AP50" s="85"/>
      <c r="AQ50" s="3"/>
      <c r="AR50" s="3"/>
    </row>
    <row r="51" spans="2:44" x14ac:dyDescent="0.3">
      <c r="B51" s="3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32">
        <v>46</v>
      </c>
      <c r="T51" s="2"/>
      <c r="U51" s="2"/>
      <c r="V51" s="2"/>
      <c r="W51" s="36" t="str">
        <f t="shared" si="2"/>
        <v>0x002E</v>
      </c>
      <c r="X51" s="47"/>
      <c r="Y51" s="3"/>
      <c r="AB51" s="40">
        <v>48</v>
      </c>
      <c r="AC51" s="38" t="str">
        <f t="shared" si="0"/>
        <v>0x00000030</v>
      </c>
      <c r="AD51" s="42"/>
      <c r="AE51" s="2"/>
      <c r="AF51" s="2"/>
      <c r="AG51" s="2"/>
      <c r="AH51" s="1"/>
      <c r="AI51" s="38" t="str">
        <f t="shared" si="3"/>
        <v>0x0000002E</v>
      </c>
      <c r="AJ51" s="42"/>
      <c r="AK51" s="2"/>
      <c r="AL51" s="83"/>
      <c r="AM51" s="84"/>
      <c r="AN51" s="84"/>
      <c r="AO51" s="84"/>
      <c r="AP51" s="85"/>
      <c r="AQ51" s="3"/>
      <c r="AR51" s="3"/>
    </row>
    <row r="52" spans="2:44" x14ac:dyDescent="0.3">
      <c r="B52" s="3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32">
        <v>47</v>
      </c>
      <c r="T52" s="2"/>
      <c r="U52" s="2"/>
      <c r="V52" s="2"/>
      <c r="W52" s="36" t="str">
        <f t="shared" si="2"/>
        <v>0x002F</v>
      </c>
      <c r="X52" s="47"/>
      <c r="Y52" s="3"/>
      <c r="AB52" s="40">
        <v>49</v>
      </c>
      <c r="AC52" s="38" t="str">
        <f t="shared" si="0"/>
        <v>0x00000031</v>
      </c>
      <c r="AD52" s="42"/>
      <c r="AE52" s="2"/>
      <c r="AF52" s="2"/>
      <c r="AG52" s="2"/>
      <c r="AH52" s="1"/>
      <c r="AI52" s="38" t="str">
        <f t="shared" si="3"/>
        <v>0x0000002F</v>
      </c>
      <c r="AJ52" s="42"/>
      <c r="AK52" s="2"/>
      <c r="AL52" s="83"/>
      <c r="AM52" s="84"/>
      <c r="AN52" s="84"/>
      <c r="AO52" s="84"/>
      <c r="AP52" s="85"/>
      <c r="AQ52" s="3"/>
      <c r="AR52" s="3"/>
    </row>
    <row r="53" spans="2:44" x14ac:dyDescent="0.3">
      <c r="B53" s="3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32">
        <v>48</v>
      </c>
      <c r="T53" s="2"/>
      <c r="U53" s="2"/>
      <c r="V53" s="2"/>
      <c r="W53" s="36" t="str">
        <f t="shared" si="2"/>
        <v>0x0030</v>
      </c>
      <c r="X53" s="47"/>
      <c r="Y53" s="3"/>
      <c r="AB53" s="40">
        <v>50</v>
      </c>
      <c r="AC53" s="38" t="str">
        <f t="shared" si="0"/>
        <v>0x00000032</v>
      </c>
      <c r="AD53" s="42"/>
      <c r="AE53" s="2"/>
      <c r="AF53" s="2"/>
      <c r="AG53" s="2"/>
      <c r="AH53" s="1"/>
      <c r="AI53" s="38" t="str">
        <f t="shared" si="3"/>
        <v>0x00000030</v>
      </c>
      <c r="AJ53" s="42"/>
      <c r="AK53" s="2"/>
      <c r="AL53" s="83"/>
      <c r="AM53" s="84"/>
      <c r="AN53" s="84"/>
      <c r="AO53" s="84"/>
      <c r="AP53" s="85"/>
      <c r="AQ53" s="3"/>
      <c r="AR53" s="3"/>
    </row>
    <row r="54" spans="2:44" x14ac:dyDescent="0.3">
      <c r="B54" s="3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32">
        <v>49</v>
      </c>
      <c r="T54" s="2"/>
      <c r="U54" s="2"/>
      <c r="V54" s="2"/>
      <c r="W54" s="36" t="str">
        <f t="shared" si="2"/>
        <v>0x0031</v>
      </c>
      <c r="X54" s="47"/>
      <c r="Y54" s="3"/>
      <c r="AB54" s="40">
        <v>51</v>
      </c>
      <c r="AC54" s="38" t="str">
        <f t="shared" si="0"/>
        <v>0x00000033</v>
      </c>
      <c r="AD54" s="42"/>
      <c r="AE54" s="2"/>
      <c r="AF54" s="2"/>
      <c r="AG54" s="2"/>
      <c r="AH54" s="1"/>
      <c r="AI54" s="38" t="str">
        <f t="shared" si="3"/>
        <v>0x00000031</v>
      </c>
      <c r="AJ54" s="42"/>
      <c r="AK54" s="2"/>
      <c r="AL54" s="83"/>
      <c r="AM54" s="84"/>
      <c r="AN54" s="84"/>
      <c r="AO54" s="84"/>
      <c r="AP54" s="85"/>
      <c r="AQ54" s="3"/>
      <c r="AR54" s="3"/>
    </row>
    <row r="55" spans="2:44" x14ac:dyDescent="0.3">
      <c r="B55" s="3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32">
        <v>50</v>
      </c>
      <c r="T55" s="2"/>
      <c r="U55" s="2"/>
      <c r="V55" s="2"/>
      <c r="W55" s="36" t="str">
        <f t="shared" si="2"/>
        <v>0x0032</v>
      </c>
      <c r="X55" s="47"/>
      <c r="Y55" s="3"/>
      <c r="AB55" s="40">
        <v>52</v>
      </c>
      <c r="AC55" s="38" t="str">
        <f t="shared" si="0"/>
        <v>0x00000034</v>
      </c>
      <c r="AD55" s="42"/>
      <c r="AE55" s="2"/>
      <c r="AF55" s="2"/>
      <c r="AG55" s="2"/>
      <c r="AH55" s="1"/>
      <c r="AI55" s="38" t="str">
        <f t="shared" si="3"/>
        <v>0x00000032</v>
      </c>
      <c r="AJ55" s="42"/>
      <c r="AK55" s="2"/>
      <c r="AL55" s="83"/>
      <c r="AM55" s="84"/>
      <c r="AN55" s="84"/>
      <c r="AO55" s="84"/>
      <c r="AP55" s="85"/>
      <c r="AQ55" s="3"/>
      <c r="AR55" s="3"/>
    </row>
    <row r="56" spans="2:44" x14ac:dyDescent="0.3">
      <c r="B56" s="3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32">
        <v>51</v>
      </c>
      <c r="T56" s="2"/>
      <c r="U56" s="2"/>
      <c r="V56" s="2"/>
      <c r="W56" s="36" t="str">
        <f t="shared" si="2"/>
        <v>0x0033</v>
      </c>
      <c r="X56" s="47"/>
      <c r="Y56" s="3"/>
      <c r="AB56" s="40">
        <v>53</v>
      </c>
      <c r="AC56" s="38" t="str">
        <f t="shared" si="0"/>
        <v>0x00000035</v>
      </c>
      <c r="AD56" s="42"/>
      <c r="AE56" s="2"/>
      <c r="AF56" s="2"/>
      <c r="AG56" s="2"/>
      <c r="AH56" s="1"/>
      <c r="AI56" s="38" t="str">
        <f t="shared" si="3"/>
        <v>0x00000033</v>
      </c>
      <c r="AJ56" s="42"/>
      <c r="AK56" s="2"/>
      <c r="AL56" s="83"/>
      <c r="AM56" s="84"/>
      <c r="AN56" s="84"/>
      <c r="AO56" s="84"/>
      <c r="AP56" s="85"/>
      <c r="AQ56" s="3"/>
      <c r="AR56" s="3"/>
    </row>
    <row r="57" spans="2:44" x14ac:dyDescent="0.3">
      <c r="B57" s="3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32">
        <v>52</v>
      </c>
      <c r="T57" s="2"/>
      <c r="U57" s="2"/>
      <c r="V57" s="2"/>
      <c r="W57" s="36" t="str">
        <f t="shared" si="2"/>
        <v>0x0034</v>
      </c>
      <c r="X57" s="47"/>
      <c r="Y57" s="3"/>
      <c r="AB57" s="40">
        <v>54</v>
      </c>
      <c r="AC57" s="38" t="str">
        <f t="shared" si="0"/>
        <v>0x00000036</v>
      </c>
      <c r="AD57" s="42"/>
      <c r="AE57" s="2"/>
      <c r="AF57" s="2"/>
      <c r="AG57" s="2"/>
      <c r="AH57" s="1"/>
      <c r="AI57" s="38" t="str">
        <f t="shared" si="3"/>
        <v>0x00000034</v>
      </c>
      <c r="AJ57" s="42"/>
      <c r="AK57" s="2"/>
      <c r="AL57" s="83"/>
      <c r="AM57" s="84"/>
      <c r="AN57" s="84"/>
      <c r="AO57" s="84"/>
      <c r="AP57" s="85"/>
      <c r="AQ57" s="3"/>
      <c r="AR57" s="3"/>
    </row>
    <row r="58" spans="2:44" x14ac:dyDescent="0.3">
      <c r="B58" s="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32">
        <v>53</v>
      </c>
      <c r="T58" s="2"/>
      <c r="U58" s="2"/>
      <c r="V58" s="2"/>
      <c r="W58" s="36" t="str">
        <f t="shared" si="2"/>
        <v>0x0035</v>
      </c>
      <c r="X58" s="47"/>
      <c r="Y58" s="3"/>
      <c r="AB58" s="40">
        <v>55</v>
      </c>
      <c r="AC58" s="38" t="str">
        <f t="shared" si="0"/>
        <v>0x00000037</v>
      </c>
      <c r="AD58" s="42"/>
      <c r="AE58" s="2"/>
      <c r="AF58" s="2"/>
      <c r="AG58" s="2"/>
      <c r="AH58" s="1"/>
      <c r="AI58" s="38" t="str">
        <f t="shared" si="3"/>
        <v>0x00000035</v>
      </c>
      <c r="AJ58" s="42"/>
      <c r="AK58" s="2"/>
      <c r="AL58" s="83"/>
      <c r="AM58" s="84"/>
      <c r="AN58" s="84"/>
      <c r="AO58" s="84"/>
      <c r="AP58" s="85"/>
      <c r="AQ58" s="3"/>
      <c r="AR58" s="3"/>
    </row>
    <row r="59" spans="2:44" x14ac:dyDescent="0.3">
      <c r="B59" s="3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32">
        <v>54</v>
      </c>
      <c r="T59" s="2"/>
      <c r="U59" s="2"/>
      <c r="V59" s="2"/>
      <c r="W59" s="36" t="str">
        <f t="shared" si="2"/>
        <v>0x0036</v>
      </c>
      <c r="X59" s="47"/>
      <c r="Y59" s="3"/>
      <c r="AB59" s="40">
        <v>56</v>
      </c>
      <c r="AC59" s="38" t="str">
        <f t="shared" si="0"/>
        <v>0x00000038</v>
      </c>
      <c r="AD59" s="42"/>
      <c r="AE59" s="2"/>
      <c r="AF59" s="2"/>
      <c r="AG59" s="2"/>
      <c r="AH59" s="1"/>
      <c r="AI59" s="38" t="str">
        <f t="shared" si="3"/>
        <v>0x00000036</v>
      </c>
      <c r="AJ59" s="42"/>
      <c r="AK59" s="2"/>
      <c r="AL59" s="83"/>
      <c r="AM59" s="84"/>
      <c r="AN59" s="84"/>
      <c r="AO59" s="84"/>
      <c r="AP59" s="85"/>
      <c r="AQ59" s="3"/>
      <c r="AR59" s="3"/>
    </row>
    <row r="60" spans="2:44" x14ac:dyDescent="0.3">
      <c r="B60" s="3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32">
        <v>55</v>
      </c>
      <c r="T60" s="2"/>
      <c r="U60" s="2"/>
      <c r="V60" s="2"/>
      <c r="W60" s="36" t="str">
        <f t="shared" si="2"/>
        <v>0x0037</v>
      </c>
      <c r="X60" s="47"/>
      <c r="Y60" s="3"/>
      <c r="AB60" s="40">
        <v>57</v>
      </c>
      <c r="AC60" s="38" t="str">
        <f t="shared" si="0"/>
        <v>0x00000039</v>
      </c>
      <c r="AD60" s="42"/>
      <c r="AE60" s="2"/>
      <c r="AF60" s="2"/>
      <c r="AG60" s="2"/>
      <c r="AH60" s="1"/>
      <c r="AI60" s="38" t="str">
        <f t="shared" si="3"/>
        <v>0x00000037</v>
      </c>
      <c r="AJ60" s="42"/>
      <c r="AK60" s="2"/>
      <c r="AL60" s="83"/>
      <c r="AM60" s="84"/>
      <c r="AN60" s="84"/>
      <c r="AO60" s="84"/>
      <c r="AP60" s="85"/>
      <c r="AQ60" s="3"/>
      <c r="AR60" s="3"/>
    </row>
    <row r="61" spans="2:44" x14ac:dyDescent="0.3">
      <c r="B61" s="3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32">
        <v>56</v>
      </c>
      <c r="T61" s="2"/>
      <c r="U61" s="2"/>
      <c r="V61" s="2"/>
      <c r="W61" s="36" t="str">
        <f t="shared" si="2"/>
        <v>0x0038</v>
      </c>
      <c r="X61" s="47"/>
      <c r="Y61" s="3"/>
      <c r="AB61" s="40">
        <v>58</v>
      </c>
      <c r="AC61" s="38" t="str">
        <f t="shared" si="0"/>
        <v>0x0000003A</v>
      </c>
      <c r="AD61" s="42"/>
      <c r="AE61" s="2"/>
      <c r="AF61" s="2"/>
      <c r="AG61" s="2"/>
      <c r="AH61" s="1"/>
      <c r="AI61" s="38" t="str">
        <f t="shared" si="3"/>
        <v>0x00000038</v>
      </c>
      <c r="AJ61" s="42"/>
      <c r="AK61" s="2"/>
      <c r="AL61" s="83"/>
      <c r="AM61" s="84"/>
      <c r="AN61" s="84"/>
      <c r="AO61" s="84"/>
      <c r="AP61" s="85"/>
      <c r="AQ61" s="3"/>
      <c r="AR61" s="3"/>
    </row>
    <row r="62" spans="2:44" x14ac:dyDescent="0.3">
      <c r="B62" s="3"/>
      <c r="S62" s="32">
        <v>57</v>
      </c>
      <c r="W62" s="36" t="str">
        <f t="shared" si="2"/>
        <v>0x0039</v>
      </c>
      <c r="X62" s="47"/>
      <c r="Y62" s="3"/>
      <c r="AB62" s="40">
        <v>59</v>
      </c>
      <c r="AC62" s="38" t="str">
        <f t="shared" si="0"/>
        <v>0x0000003B</v>
      </c>
      <c r="AD62" s="42"/>
      <c r="AE62" s="2"/>
      <c r="AF62" s="2"/>
      <c r="AG62" s="2"/>
      <c r="AH62" s="1"/>
      <c r="AI62" s="38" t="str">
        <f t="shared" si="3"/>
        <v>0x00000039</v>
      </c>
      <c r="AJ62" s="42"/>
      <c r="AK62" s="2"/>
      <c r="AL62" s="83"/>
      <c r="AM62" s="84"/>
      <c r="AN62" s="84"/>
      <c r="AO62" s="84"/>
      <c r="AP62" s="85"/>
      <c r="AQ62" s="3"/>
      <c r="AR62" s="3"/>
    </row>
    <row r="63" spans="2:44" x14ac:dyDescent="0.3">
      <c r="B63" s="3"/>
      <c r="S63" s="32">
        <v>58</v>
      </c>
      <c r="W63" s="36" t="str">
        <f t="shared" si="2"/>
        <v>0x003A</v>
      </c>
      <c r="X63" s="47"/>
      <c r="Y63" s="3"/>
      <c r="AB63" s="40">
        <v>60</v>
      </c>
      <c r="AC63" s="38" t="str">
        <f t="shared" si="0"/>
        <v>0x0000003C</v>
      </c>
      <c r="AD63" s="42"/>
      <c r="AE63" s="2"/>
      <c r="AF63" s="2"/>
      <c r="AG63" s="2"/>
      <c r="AH63" s="1"/>
      <c r="AI63" s="38" t="str">
        <f t="shared" si="3"/>
        <v>0x0000003A</v>
      </c>
      <c r="AJ63" s="42"/>
      <c r="AK63" s="2"/>
      <c r="AL63" s="83"/>
      <c r="AM63" s="84"/>
      <c r="AN63" s="84"/>
      <c r="AO63" s="84"/>
      <c r="AP63" s="85"/>
      <c r="AQ63" s="3"/>
      <c r="AR63" s="3"/>
    </row>
    <row r="64" spans="2:44" x14ac:dyDescent="0.3">
      <c r="B64" s="3"/>
      <c r="S64" s="32">
        <v>59</v>
      </c>
      <c r="W64" s="36" t="str">
        <f t="shared" si="2"/>
        <v>0x003B</v>
      </c>
      <c r="X64" s="47"/>
      <c r="Y64" s="3"/>
      <c r="AB64" s="40">
        <v>61</v>
      </c>
      <c r="AC64" s="38" t="str">
        <f t="shared" si="0"/>
        <v>0x0000003D</v>
      </c>
      <c r="AD64" s="42"/>
      <c r="AE64" s="2"/>
      <c r="AF64" s="2"/>
      <c r="AG64" s="2"/>
      <c r="AH64" s="1"/>
      <c r="AI64" s="38" t="str">
        <f t="shared" si="3"/>
        <v>0x0000003B</v>
      </c>
      <c r="AJ64" s="42"/>
      <c r="AK64" s="2"/>
      <c r="AL64" s="83"/>
      <c r="AM64" s="84"/>
      <c r="AN64" s="84"/>
      <c r="AO64" s="84"/>
      <c r="AP64" s="85"/>
      <c r="AQ64" s="3"/>
      <c r="AR64" s="3"/>
    </row>
    <row r="65" spans="2:44" x14ac:dyDescent="0.3">
      <c r="B65" s="3"/>
      <c r="S65" s="32">
        <v>60</v>
      </c>
      <c r="W65" s="36" t="str">
        <f t="shared" si="2"/>
        <v>0x003C</v>
      </c>
      <c r="X65" s="47"/>
      <c r="Y65" s="3"/>
      <c r="AB65" s="40">
        <v>62</v>
      </c>
      <c r="AC65" s="38" t="str">
        <f t="shared" si="0"/>
        <v>0x0000003E</v>
      </c>
      <c r="AD65" s="42"/>
      <c r="AE65" s="2"/>
      <c r="AF65" s="2"/>
      <c r="AG65" s="2"/>
      <c r="AH65" s="1"/>
      <c r="AI65" s="38" t="str">
        <f t="shared" si="3"/>
        <v>0x0000003C</v>
      </c>
      <c r="AJ65" s="42"/>
      <c r="AK65" s="2"/>
      <c r="AL65" s="83"/>
      <c r="AM65" s="84"/>
      <c r="AN65" s="84"/>
      <c r="AO65" s="84"/>
      <c r="AP65" s="85"/>
      <c r="AQ65" s="3"/>
      <c r="AR65" s="3"/>
    </row>
    <row r="66" spans="2:44" ht="15" thickBot="1" x14ac:dyDescent="0.35">
      <c r="B66" s="3"/>
      <c r="S66" s="32">
        <v>61</v>
      </c>
      <c r="W66" s="12" t="str">
        <f t="shared" si="2"/>
        <v>0x003D</v>
      </c>
      <c r="X66" s="43"/>
      <c r="Y66" s="3"/>
      <c r="AB66" s="40">
        <v>63</v>
      </c>
      <c r="AC66" s="38" t="str">
        <f t="shared" si="0"/>
        <v>0x0000003F</v>
      </c>
      <c r="AD66" s="42"/>
      <c r="AE66" s="2"/>
      <c r="AF66" s="2"/>
      <c r="AG66" s="2"/>
      <c r="AH66" s="1"/>
      <c r="AI66" s="38" t="str">
        <f t="shared" si="3"/>
        <v>0x0000003D</v>
      </c>
      <c r="AJ66" s="42"/>
      <c r="AK66" s="2"/>
      <c r="AL66" s="83"/>
      <c r="AM66" s="84"/>
      <c r="AN66" s="84"/>
      <c r="AO66" s="84"/>
      <c r="AP66" s="85"/>
      <c r="AQ66" s="3"/>
      <c r="AR66" s="3"/>
    </row>
    <row r="67" spans="2:44" x14ac:dyDescent="0.3">
      <c r="B67" s="3"/>
      <c r="Y67" s="3"/>
      <c r="AB67" s="40">
        <v>64</v>
      </c>
      <c r="AC67" s="38" t="str">
        <f t="shared" si="0"/>
        <v>0x00000040</v>
      </c>
      <c r="AD67" s="42"/>
      <c r="AE67" s="2"/>
      <c r="AF67" s="2"/>
      <c r="AG67" s="2"/>
      <c r="AH67" s="1"/>
      <c r="AI67" s="38" t="str">
        <f t="shared" si="3"/>
        <v>0x0000003E</v>
      </c>
      <c r="AJ67" s="42"/>
      <c r="AK67" s="2"/>
      <c r="AL67" s="83"/>
      <c r="AM67" s="84"/>
      <c r="AN67" s="84"/>
      <c r="AO67" s="84"/>
      <c r="AP67" s="85"/>
      <c r="AQ67" s="3"/>
      <c r="AR67" s="3"/>
    </row>
    <row r="68" spans="2:44" ht="15" thickBot="1" x14ac:dyDescent="0.35"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6"/>
      <c r="AB68" s="40">
        <v>65</v>
      </c>
      <c r="AC68" s="38" t="str">
        <f t="shared" ref="AC68:AC102" si="4" xml:space="preserve"> "0x" &amp; RIGHT( "0000000" &amp; DEC2HEX(AB68), 8)</f>
        <v>0x00000041</v>
      </c>
      <c r="AD68" s="42"/>
      <c r="AE68" s="2"/>
      <c r="AF68" s="2"/>
      <c r="AG68" s="2"/>
      <c r="AH68" s="1"/>
      <c r="AI68" s="38" t="str">
        <f t="shared" si="3"/>
        <v>0x0000003F</v>
      </c>
      <c r="AJ68" s="42"/>
      <c r="AK68" s="2"/>
      <c r="AL68" s="83"/>
      <c r="AM68" s="84"/>
      <c r="AN68" s="84"/>
      <c r="AO68" s="84"/>
      <c r="AP68" s="85"/>
      <c r="AQ68" s="3"/>
      <c r="AR68" s="3"/>
    </row>
    <row r="69" spans="2:44" x14ac:dyDescent="0.3">
      <c r="AB69" s="40">
        <v>66</v>
      </c>
      <c r="AC69" s="38" t="str">
        <f t="shared" si="4"/>
        <v>0x00000042</v>
      </c>
      <c r="AD69" s="42"/>
      <c r="AE69" s="2"/>
      <c r="AF69" s="2"/>
      <c r="AG69" s="2"/>
      <c r="AH69" s="1"/>
      <c r="AI69" s="38" t="str">
        <f t="shared" si="3"/>
        <v>0x00000040</v>
      </c>
      <c r="AJ69" s="42"/>
      <c r="AK69" s="2"/>
      <c r="AL69" s="83"/>
      <c r="AM69" s="84"/>
      <c r="AN69" s="84"/>
      <c r="AO69" s="84"/>
      <c r="AP69" s="85"/>
      <c r="AQ69" s="3"/>
      <c r="AR69" s="3"/>
    </row>
    <row r="70" spans="2:44" x14ac:dyDescent="0.3">
      <c r="AB70" s="40">
        <v>67</v>
      </c>
      <c r="AC70" s="38" t="str">
        <f t="shared" si="4"/>
        <v>0x00000043</v>
      </c>
      <c r="AD70" s="42"/>
      <c r="AE70" s="2"/>
      <c r="AF70" s="2"/>
      <c r="AG70" s="2"/>
      <c r="AH70" s="1"/>
      <c r="AI70" s="38" t="str">
        <f t="shared" ref="AI70:AI101" si="5" xml:space="preserve"> "0x" &amp; RIGHT( "0000000" &amp; DEC2HEX(AB68), 8)</f>
        <v>0x00000041</v>
      </c>
      <c r="AJ70" s="42"/>
      <c r="AK70" s="2"/>
      <c r="AL70" s="83"/>
      <c r="AM70" s="84"/>
      <c r="AN70" s="84"/>
      <c r="AO70" s="84"/>
      <c r="AP70" s="85"/>
      <c r="AQ70" s="3"/>
      <c r="AR70" s="3"/>
    </row>
    <row r="71" spans="2:44" x14ac:dyDescent="0.3">
      <c r="AB71" s="40">
        <v>68</v>
      </c>
      <c r="AC71" s="38" t="str">
        <f t="shared" si="4"/>
        <v>0x00000044</v>
      </c>
      <c r="AD71" s="42"/>
      <c r="AE71" s="2"/>
      <c r="AF71" s="2"/>
      <c r="AG71" s="2"/>
      <c r="AH71" s="1"/>
      <c r="AI71" s="38" t="str">
        <f t="shared" si="5"/>
        <v>0x00000042</v>
      </c>
      <c r="AJ71" s="42"/>
      <c r="AK71" s="2"/>
      <c r="AL71" s="83"/>
      <c r="AM71" s="84"/>
      <c r="AN71" s="84"/>
      <c r="AO71" s="84"/>
      <c r="AP71" s="85"/>
      <c r="AQ71" s="3"/>
      <c r="AR71" s="3"/>
    </row>
    <row r="72" spans="2:44" x14ac:dyDescent="0.3">
      <c r="AB72" s="40">
        <v>69</v>
      </c>
      <c r="AC72" s="38" t="str">
        <f t="shared" si="4"/>
        <v>0x00000045</v>
      </c>
      <c r="AD72" s="42"/>
      <c r="AE72" s="2"/>
      <c r="AF72" s="2"/>
      <c r="AG72" s="2"/>
      <c r="AH72" s="1"/>
      <c r="AI72" s="38" t="str">
        <f t="shared" si="5"/>
        <v>0x00000043</v>
      </c>
      <c r="AJ72" s="42"/>
      <c r="AK72" s="2"/>
      <c r="AL72" s="83"/>
      <c r="AM72" s="84"/>
      <c r="AN72" s="84"/>
      <c r="AO72" s="84"/>
      <c r="AP72" s="85"/>
      <c r="AQ72" s="3"/>
      <c r="AR72" s="3"/>
    </row>
    <row r="73" spans="2:44" ht="15" thickBot="1" x14ac:dyDescent="0.35">
      <c r="AB73" s="40">
        <v>70</v>
      </c>
      <c r="AC73" s="38" t="str">
        <f t="shared" si="4"/>
        <v>0x00000046</v>
      </c>
      <c r="AD73" s="42"/>
      <c r="AE73" s="2"/>
      <c r="AF73" s="2"/>
      <c r="AG73" s="2"/>
      <c r="AH73" s="1"/>
      <c r="AI73" s="38" t="str">
        <f t="shared" si="5"/>
        <v>0x00000044</v>
      </c>
      <c r="AJ73" s="42"/>
      <c r="AK73" s="2"/>
      <c r="AL73" s="83"/>
      <c r="AM73" s="84"/>
      <c r="AN73" s="84"/>
      <c r="AO73" s="84"/>
      <c r="AP73" s="85"/>
      <c r="AQ73" s="3"/>
      <c r="AR73" s="3"/>
    </row>
    <row r="74" spans="2:44" ht="31.8" thickBot="1" x14ac:dyDescent="0.35">
      <c r="E74" s="61" t="s">
        <v>25</v>
      </c>
      <c r="F74" s="62"/>
      <c r="G74" s="62"/>
      <c r="H74" s="62"/>
      <c r="I74" s="62"/>
      <c r="J74" s="63"/>
      <c r="K74" s="64" t="s">
        <v>26</v>
      </c>
      <c r="L74" s="65"/>
      <c r="M74" s="65"/>
      <c r="N74" s="65"/>
      <c r="O74" s="65"/>
      <c r="P74" s="66"/>
      <c r="U74" s="2"/>
      <c r="V74" s="2"/>
      <c r="AB74" s="40">
        <v>71</v>
      </c>
      <c r="AC74" s="38" t="str">
        <f t="shared" si="4"/>
        <v>0x00000047</v>
      </c>
      <c r="AD74" s="42"/>
      <c r="AE74" s="2"/>
      <c r="AF74" s="2"/>
      <c r="AG74" s="2"/>
      <c r="AH74" s="1"/>
      <c r="AI74" s="38" t="str">
        <f t="shared" si="5"/>
        <v>0x00000045</v>
      </c>
      <c r="AJ74" s="42"/>
      <c r="AK74" s="2"/>
      <c r="AL74" s="83"/>
      <c r="AM74" s="84"/>
      <c r="AN74" s="84"/>
      <c r="AO74" s="84"/>
      <c r="AP74" s="85"/>
      <c r="AQ74" s="3"/>
      <c r="AR74" s="3"/>
    </row>
    <row r="75" spans="2:44" x14ac:dyDescent="0.3">
      <c r="E75" s="20" t="s">
        <v>35</v>
      </c>
      <c r="F75" s="29" t="s">
        <v>36</v>
      </c>
      <c r="G75" s="29">
        <v>2</v>
      </c>
      <c r="H75" s="29"/>
      <c r="I75" s="29"/>
      <c r="J75" s="19"/>
      <c r="K75" s="29"/>
      <c r="L75" s="29"/>
      <c r="M75" s="29"/>
      <c r="N75" s="29"/>
      <c r="O75" s="29"/>
      <c r="P75" s="19"/>
      <c r="U75" s="2"/>
      <c r="V75" s="2"/>
      <c r="AB75" s="40">
        <v>72</v>
      </c>
      <c r="AC75" s="38" t="str">
        <f t="shared" si="4"/>
        <v>0x00000048</v>
      </c>
      <c r="AD75" s="42"/>
      <c r="AE75" s="2"/>
      <c r="AF75" s="2"/>
      <c r="AG75" s="2"/>
      <c r="AH75" s="1"/>
      <c r="AI75" s="38" t="str">
        <f t="shared" si="5"/>
        <v>0x00000046</v>
      </c>
      <c r="AJ75" s="42"/>
      <c r="AK75" s="2"/>
      <c r="AL75" s="83"/>
      <c r="AM75" s="84"/>
      <c r="AN75" s="84"/>
      <c r="AO75" s="84"/>
      <c r="AP75" s="85"/>
      <c r="AQ75" s="3"/>
      <c r="AR75" s="3"/>
    </row>
    <row r="76" spans="2:44" x14ac:dyDescent="0.3">
      <c r="E76" s="22"/>
      <c r="F76" s="30"/>
      <c r="G76" s="30"/>
      <c r="H76" s="30"/>
      <c r="I76" s="30"/>
      <c r="J76" s="21"/>
      <c r="K76" s="30"/>
      <c r="L76" s="30"/>
      <c r="M76" s="30"/>
      <c r="N76" s="30"/>
      <c r="O76" s="30"/>
      <c r="P76" s="21"/>
      <c r="U76" s="2"/>
      <c r="V76" s="2"/>
      <c r="AB76" s="40">
        <v>73</v>
      </c>
      <c r="AC76" s="38" t="str">
        <f t="shared" si="4"/>
        <v>0x00000049</v>
      </c>
      <c r="AD76" s="42"/>
      <c r="AE76" s="2"/>
      <c r="AF76" s="2"/>
      <c r="AG76" s="2"/>
      <c r="AH76" s="1"/>
      <c r="AI76" s="38" t="str">
        <f t="shared" si="5"/>
        <v>0x00000047</v>
      </c>
      <c r="AJ76" s="42"/>
      <c r="AK76" s="2"/>
      <c r="AL76" s="83"/>
      <c r="AM76" s="84"/>
      <c r="AN76" s="84"/>
      <c r="AO76" s="84"/>
      <c r="AP76" s="85"/>
      <c r="AQ76" s="3"/>
      <c r="AR76" s="3"/>
    </row>
    <row r="77" spans="2:44" x14ac:dyDescent="0.3">
      <c r="E77" s="22"/>
      <c r="F77" s="30"/>
      <c r="G77" s="30"/>
      <c r="H77" s="30"/>
      <c r="I77" s="30"/>
      <c r="J77" s="21"/>
      <c r="K77" s="30"/>
      <c r="L77" s="30"/>
      <c r="M77" s="30"/>
      <c r="N77" s="30"/>
      <c r="O77" s="30"/>
      <c r="P77" s="21"/>
      <c r="U77" s="2"/>
      <c r="V77" s="2"/>
      <c r="AB77" s="40">
        <v>74</v>
      </c>
      <c r="AC77" s="38" t="str">
        <f t="shared" si="4"/>
        <v>0x0000004A</v>
      </c>
      <c r="AD77" s="42"/>
      <c r="AE77" s="2"/>
      <c r="AF77" s="2"/>
      <c r="AG77" s="2"/>
      <c r="AH77" s="1"/>
      <c r="AI77" s="38" t="str">
        <f t="shared" si="5"/>
        <v>0x00000048</v>
      </c>
      <c r="AJ77" s="42"/>
      <c r="AK77" s="2"/>
      <c r="AL77" s="83"/>
      <c r="AM77" s="84"/>
      <c r="AN77" s="84"/>
      <c r="AO77" s="84"/>
      <c r="AP77" s="85"/>
      <c r="AQ77" s="3"/>
      <c r="AR77" s="3"/>
    </row>
    <row r="78" spans="2:44" x14ac:dyDescent="0.3">
      <c r="E78" s="22"/>
      <c r="F78" s="30"/>
      <c r="G78" s="30"/>
      <c r="H78" s="30"/>
      <c r="I78" s="30"/>
      <c r="J78" s="21"/>
      <c r="K78" s="30"/>
      <c r="L78" s="30"/>
      <c r="M78" s="30"/>
      <c r="N78" s="30"/>
      <c r="O78" s="30"/>
      <c r="P78" s="21"/>
      <c r="U78" s="2"/>
      <c r="V78" s="2"/>
      <c r="AB78" s="40">
        <v>75</v>
      </c>
      <c r="AC78" s="38" t="str">
        <f t="shared" si="4"/>
        <v>0x0000004B</v>
      </c>
      <c r="AD78" s="42"/>
      <c r="AE78" s="2"/>
      <c r="AF78" s="2"/>
      <c r="AG78" s="2"/>
      <c r="AH78" s="1"/>
      <c r="AI78" s="38" t="str">
        <f t="shared" si="5"/>
        <v>0x00000049</v>
      </c>
      <c r="AJ78" s="42"/>
      <c r="AK78" s="2"/>
      <c r="AL78" s="83"/>
      <c r="AM78" s="84"/>
      <c r="AN78" s="84"/>
      <c r="AO78" s="84"/>
      <c r="AP78" s="85"/>
      <c r="AQ78" s="3"/>
      <c r="AR78" s="3"/>
    </row>
    <row r="79" spans="2:44" x14ac:dyDescent="0.3">
      <c r="E79" s="22"/>
      <c r="F79" s="30"/>
      <c r="G79" s="30"/>
      <c r="H79" s="30"/>
      <c r="I79" s="30"/>
      <c r="J79" s="21"/>
      <c r="K79" s="30"/>
      <c r="L79" s="30"/>
      <c r="M79" s="30"/>
      <c r="N79" s="30"/>
      <c r="O79" s="30"/>
      <c r="P79" s="21"/>
      <c r="U79" s="2"/>
      <c r="V79" s="2"/>
      <c r="AB79" s="40">
        <v>76</v>
      </c>
      <c r="AC79" s="38" t="str">
        <f t="shared" si="4"/>
        <v>0x0000004C</v>
      </c>
      <c r="AD79" s="42"/>
      <c r="AE79" s="2"/>
      <c r="AF79" s="2"/>
      <c r="AG79" s="2"/>
      <c r="AH79" s="1"/>
      <c r="AI79" s="38" t="str">
        <f t="shared" si="5"/>
        <v>0x0000004A</v>
      </c>
      <c r="AJ79" s="42"/>
      <c r="AK79" s="2"/>
      <c r="AL79" s="83"/>
      <c r="AM79" s="84"/>
      <c r="AN79" s="84"/>
      <c r="AO79" s="84"/>
      <c r="AP79" s="85"/>
      <c r="AQ79" s="3"/>
      <c r="AR79" s="3"/>
    </row>
    <row r="80" spans="2:44" x14ac:dyDescent="0.3">
      <c r="E80" s="22"/>
      <c r="F80" s="30"/>
      <c r="G80" s="30"/>
      <c r="H80" s="30"/>
      <c r="I80" s="30"/>
      <c r="J80" s="21"/>
      <c r="K80" s="30"/>
      <c r="L80" s="30"/>
      <c r="M80" s="30"/>
      <c r="N80" s="30"/>
      <c r="O80" s="30"/>
      <c r="P80" s="21"/>
      <c r="AB80" s="40">
        <v>77</v>
      </c>
      <c r="AC80" s="38" t="str">
        <f t="shared" si="4"/>
        <v>0x0000004D</v>
      </c>
      <c r="AD80" s="42"/>
      <c r="AE80" s="2"/>
      <c r="AF80" s="2"/>
      <c r="AG80" s="2"/>
      <c r="AH80" s="1"/>
      <c r="AI80" s="38" t="str">
        <f t="shared" si="5"/>
        <v>0x0000004B</v>
      </c>
      <c r="AJ80" s="42"/>
      <c r="AK80" s="2"/>
      <c r="AL80" s="83"/>
      <c r="AM80" s="84"/>
      <c r="AN80" s="84"/>
      <c r="AO80" s="84"/>
      <c r="AP80" s="85"/>
      <c r="AQ80" s="3"/>
      <c r="AR80" s="3"/>
    </row>
    <row r="81" spans="5:44" x14ac:dyDescent="0.3">
      <c r="E81" s="22"/>
      <c r="F81" s="30"/>
      <c r="G81" s="30"/>
      <c r="H81" s="30"/>
      <c r="I81" s="30"/>
      <c r="J81" s="21"/>
      <c r="K81" s="30"/>
      <c r="L81" s="30"/>
      <c r="M81" s="30"/>
      <c r="N81" s="30"/>
      <c r="O81" s="30"/>
      <c r="P81" s="21"/>
      <c r="AB81" s="40">
        <v>78</v>
      </c>
      <c r="AC81" s="38" t="str">
        <f t="shared" si="4"/>
        <v>0x0000004E</v>
      </c>
      <c r="AD81" s="42"/>
      <c r="AE81" s="2"/>
      <c r="AF81" s="2"/>
      <c r="AG81" s="2"/>
      <c r="AH81" s="1"/>
      <c r="AI81" s="38" t="str">
        <f t="shared" si="5"/>
        <v>0x0000004C</v>
      </c>
      <c r="AJ81" s="42"/>
      <c r="AK81" s="2"/>
      <c r="AL81" s="83"/>
      <c r="AM81" s="84"/>
      <c r="AN81" s="84"/>
      <c r="AO81" s="84"/>
      <c r="AP81" s="85"/>
      <c r="AQ81" s="3"/>
      <c r="AR81" s="3"/>
    </row>
    <row r="82" spans="5:44" x14ac:dyDescent="0.3">
      <c r="E82" s="22"/>
      <c r="F82" s="30"/>
      <c r="G82" s="30"/>
      <c r="H82" s="30"/>
      <c r="I82" s="30"/>
      <c r="J82" s="21"/>
      <c r="K82" s="30"/>
      <c r="L82" s="30"/>
      <c r="M82" s="30"/>
      <c r="N82" s="30"/>
      <c r="O82" s="30"/>
      <c r="P82" s="21"/>
      <c r="AB82" s="40">
        <v>79</v>
      </c>
      <c r="AC82" s="38" t="str">
        <f t="shared" si="4"/>
        <v>0x0000004F</v>
      </c>
      <c r="AD82" s="42"/>
      <c r="AE82" s="2"/>
      <c r="AF82" s="2"/>
      <c r="AG82" s="2"/>
      <c r="AH82" s="1"/>
      <c r="AI82" s="38" t="str">
        <f t="shared" si="5"/>
        <v>0x0000004D</v>
      </c>
      <c r="AJ82" s="42"/>
      <c r="AK82" s="2"/>
      <c r="AL82" s="83"/>
      <c r="AM82" s="84"/>
      <c r="AN82" s="84"/>
      <c r="AO82" s="84"/>
      <c r="AP82" s="85"/>
      <c r="AQ82" s="3"/>
      <c r="AR82" s="3"/>
    </row>
    <row r="83" spans="5:44" x14ac:dyDescent="0.3">
      <c r="E83" s="22"/>
      <c r="F83" s="30"/>
      <c r="G83" s="30"/>
      <c r="H83" s="30"/>
      <c r="I83" s="30"/>
      <c r="J83" s="21"/>
      <c r="K83" s="30"/>
      <c r="L83" s="30"/>
      <c r="M83" s="30"/>
      <c r="N83" s="30"/>
      <c r="O83" s="30"/>
      <c r="P83" s="21"/>
      <c r="AB83" s="40">
        <v>80</v>
      </c>
      <c r="AC83" s="38" t="str">
        <f t="shared" si="4"/>
        <v>0x00000050</v>
      </c>
      <c r="AD83" s="42"/>
      <c r="AE83" s="2"/>
      <c r="AF83" s="2"/>
      <c r="AG83" s="2"/>
      <c r="AH83" s="1"/>
      <c r="AI83" s="38" t="str">
        <f t="shared" si="5"/>
        <v>0x0000004E</v>
      </c>
      <c r="AJ83" s="42"/>
      <c r="AK83" s="2"/>
      <c r="AL83" s="83"/>
      <c r="AM83" s="84"/>
      <c r="AN83" s="84"/>
      <c r="AO83" s="84"/>
      <c r="AP83" s="85"/>
      <c r="AQ83" s="3"/>
      <c r="AR83" s="3"/>
    </row>
    <row r="84" spans="5:44" x14ac:dyDescent="0.3">
      <c r="E84" s="22"/>
      <c r="F84" s="30"/>
      <c r="G84" s="30"/>
      <c r="H84" s="30"/>
      <c r="I84" s="30"/>
      <c r="J84" s="21"/>
      <c r="K84" s="30"/>
      <c r="L84" s="30"/>
      <c r="M84" s="30"/>
      <c r="N84" s="30"/>
      <c r="O84" s="30"/>
      <c r="P84" s="21"/>
      <c r="AB84" s="40">
        <v>81</v>
      </c>
      <c r="AC84" s="38" t="str">
        <f t="shared" si="4"/>
        <v>0x00000051</v>
      </c>
      <c r="AD84" s="42"/>
      <c r="AE84" s="2"/>
      <c r="AF84" s="2"/>
      <c r="AG84" s="2"/>
      <c r="AH84" s="1"/>
      <c r="AI84" s="38" t="str">
        <f t="shared" si="5"/>
        <v>0x0000004F</v>
      </c>
      <c r="AJ84" s="42"/>
      <c r="AK84" s="2"/>
      <c r="AL84" s="83"/>
      <c r="AM84" s="84"/>
      <c r="AN84" s="84"/>
      <c r="AO84" s="84"/>
      <c r="AP84" s="85"/>
      <c r="AQ84" s="3"/>
      <c r="AR84" s="3"/>
    </row>
    <row r="85" spans="5:44" x14ac:dyDescent="0.3">
      <c r="E85" s="22"/>
      <c r="F85" s="30"/>
      <c r="G85" s="30"/>
      <c r="H85" s="30"/>
      <c r="I85" s="30"/>
      <c r="J85" s="21"/>
      <c r="K85" s="30"/>
      <c r="L85" s="30"/>
      <c r="M85" s="30"/>
      <c r="N85" s="30"/>
      <c r="O85" s="30"/>
      <c r="P85" s="21"/>
      <c r="AB85" s="40">
        <v>82</v>
      </c>
      <c r="AC85" s="38" t="str">
        <f t="shared" si="4"/>
        <v>0x00000052</v>
      </c>
      <c r="AD85" s="42"/>
      <c r="AE85" s="2"/>
      <c r="AF85" s="2"/>
      <c r="AG85" s="2"/>
      <c r="AH85" s="1"/>
      <c r="AI85" s="38" t="str">
        <f t="shared" si="5"/>
        <v>0x00000050</v>
      </c>
      <c r="AJ85" s="42"/>
      <c r="AK85" s="2"/>
      <c r="AL85" s="83"/>
      <c r="AM85" s="84"/>
      <c r="AN85" s="84"/>
      <c r="AO85" s="84"/>
      <c r="AP85" s="85"/>
      <c r="AQ85" s="3"/>
      <c r="AR85" s="3"/>
    </row>
    <row r="86" spans="5:44" x14ac:dyDescent="0.3">
      <c r="E86" s="22"/>
      <c r="F86" s="30"/>
      <c r="G86" s="30"/>
      <c r="H86" s="30"/>
      <c r="I86" s="30"/>
      <c r="J86" s="21"/>
      <c r="K86" s="30"/>
      <c r="L86" s="30"/>
      <c r="M86" s="30"/>
      <c r="N86" s="30"/>
      <c r="O86" s="30"/>
      <c r="P86" s="21"/>
      <c r="AB86" s="40">
        <v>83</v>
      </c>
      <c r="AC86" s="38" t="str">
        <f t="shared" si="4"/>
        <v>0x00000053</v>
      </c>
      <c r="AD86" s="42"/>
      <c r="AE86" s="2"/>
      <c r="AF86" s="2"/>
      <c r="AG86" s="2"/>
      <c r="AH86" s="1"/>
      <c r="AI86" s="38" t="str">
        <f t="shared" si="5"/>
        <v>0x00000051</v>
      </c>
      <c r="AJ86" s="42"/>
      <c r="AK86" s="2"/>
      <c r="AL86" s="83"/>
      <c r="AM86" s="84"/>
      <c r="AN86" s="84"/>
      <c r="AO86" s="84"/>
      <c r="AP86" s="85"/>
      <c r="AQ86" s="3"/>
      <c r="AR86" s="3"/>
    </row>
    <row r="87" spans="5:44" x14ac:dyDescent="0.3">
      <c r="E87" s="22"/>
      <c r="F87" s="30"/>
      <c r="G87" s="30"/>
      <c r="H87" s="30"/>
      <c r="I87" s="30"/>
      <c r="J87" s="21"/>
      <c r="K87" s="30"/>
      <c r="L87" s="30"/>
      <c r="M87" s="30"/>
      <c r="N87" s="30"/>
      <c r="O87" s="30"/>
      <c r="P87" s="21"/>
      <c r="AB87" s="40">
        <v>84</v>
      </c>
      <c r="AC87" s="38" t="str">
        <f t="shared" si="4"/>
        <v>0x00000054</v>
      </c>
      <c r="AD87" s="42"/>
      <c r="AE87" s="2"/>
      <c r="AF87" s="2"/>
      <c r="AG87" s="2"/>
      <c r="AH87" s="1"/>
      <c r="AI87" s="38" t="str">
        <f t="shared" si="5"/>
        <v>0x00000052</v>
      </c>
      <c r="AJ87" s="42"/>
      <c r="AK87" s="2"/>
      <c r="AL87" s="83"/>
      <c r="AM87" s="84"/>
      <c r="AN87" s="84"/>
      <c r="AO87" s="84"/>
      <c r="AP87" s="85"/>
      <c r="AQ87" s="3"/>
      <c r="AR87" s="3"/>
    </row>
    <row r="88" spans="5:44" x14ac:dyDescent="0.3">
      <c r="E88" s="22"/>
      <c r="F88" s="30"/>
      <c r="G88" s="30"/>
      <c r="H88" s="30"/>
      <c r="I88" s="30"/>
      <c r="J88" s="21"/>
      <c r="K88" s="30"/>
      <c r="L88" s="30"/>
      <c r="M88" s="30"/>
      <c r="N88" s="30"/>
      <c r="O88" s="30"/>
      <c r="P88" s="21"/>
      <c r="AB88" s="40">
        <v>85</v>
      </c>
      <c r="AC88" s="38" t="str">
        <f t="shared" si="4"/>
        <v>0x00000055</v>
      </c>
      <c r="AD88" s="42"/>
      <c r="AE88" s="2"/>
      <c r="AF88" s="2"/>
      <c r="AG88" s="2"/>
      <c r="AH88" s="1"/>
      <c r="AI88" s="38" t="str">
        <f t="shared" si="5"/>
        <v>0x00000053</v>
      </c>
      <c r="AJ88" s="42"/>
      <c r="AK88" s="2"/>
      <c r="AL88" s="83"/>
      <c r="AM88" s="84"/>
      <c r="AN88" s="84"/>
      <c r="AO88" s="84"/>
      <c r="AP88" s="85"/>
      <c r="AQ88" s="3"/>
      <c r="AR88" s="3"/>
    </row>
    <row r="89" spans="5:44" x14ac:dyDescent="0.3">
      <c r="E89" s="22"/>
      <c r="F89" s="30"/>
      <c r="G89" s="30"/>
      <c r="H89" s="30"/>
      <c r="I89" s="30"/>
      <c r="J89" s="21"/>
      <c r="K89" s="30"/>
      <c r="L89" s="30"/>
      <c r="M89" s="30"/>
      <c r="N89" s="30"/>
      <c r="O89" s="30"/>
      <c r="P89" s="21"/>
      <c r="AB89" s="40">
        <v>86</v>
      </c>
      <c r="AC89" s="38" t="str">
        <f t="shared" si="4"/>
        <v>0x00000056</v>
      </c>
      <c r="AD89" s="42"/>
      <c r="AE89" s="2"/>
      <c r="AF89" s="2"/>
      <c r="AG89" s="2"/>
      <c r="AH89" s="1"/>
      <c r="AI89" s="38" t="str">
        <f t="shared" si="5"/>
        <v>0x00000054</v>
      </c>
      <c r="AJ89" s="42"/>
      <c r="AK89" s="2"/>
      <c r="AL89" s="83"/>
      <c r="AM89" s="84"/>
      <c r="AN89" s="84"/>
      <c r="AO89" s="84"/>
      <c r="AP89" s="85"/>
      <c r="AQ89" s="3"/>
      <c r="AR89" s="3"/>
    </row>
    <row r="90" spans="5:44" x14ac:dyDescent="0.3">
      <c r="E90" s="22"/>
      <c r="F90" s="30"/>
      <c r="G90" s="30"/>
      <c r="H90" s="30"/>
      <c r="I90" s="30"/>
      <c r="J90" s="21"/>
      <c r="K90" s="30"/>
      <c r="L90" s="30"/>
      <c r="M90" s="30"/>
      <c r="N90" s="30"/>
      <c r="O90" s="30"/>
      <c r="P90" s="21"/>
      <c r="AB90" s="40">
        <v>87</v>
      </c>
      <c r="AC90" s="38" t="str">
        <f t="shared" si="4"/>
        <v>0x00000057</v>
      </c>
      <c r="AD90" s="42"/>
      <c r="AE90" s="2"/>
      <c r="AF90" s="2"/>
      <c r="AG90" s="2"/>
      <c r="AH90" s="1"/>
      <c r="AI90" s="38" t="str">
        <f t="shared" si="5"/>
        <v>0x00000055</v>
      </c>
      <c r="AJ90" s="42"/>
      <c r="AK90" s="2"/>
      <c r="AL90" s="83"/>
      <c r="AM90" s="84"/>
      <c r="AN90" s="84"/>
      <c r="AO90" s="84"/>
      <c r="AP90" s="85"/>
      <c r="AQ90" s="3"/>
      <c r="AR90" s="3"/>
    </row>
    <row r="91" spans="5:44" x14ac:dyDescent="0.3">
      <c r="E91" s="22"/>
      <c r="F91" s="30"/>
      <c r="G91" s="30"/>
      <c r="H91" s="30"/>
      <c r="I91" s="30"/>
      <c r="J91" s="21"/>
      <c r="K91" s="30"/>
      <c r="L91" s="30"/>
      <c r="M91" s="30"/>
      <c r="N91" s="30"/>
      <c r="O91" s="30"/>
      <c r="P91" s="21"/>
      <c r="AB91" s="40">
        <v>88</v>
      </c>
      <c r="AC91" s="38" t="str">
        <f t="shared" si="4"/>
        <v>0x00000058</v>
      </c>
      <c r="AD91" s="42"/>
      <c r="AE91" s="2"/>
      <c r="AF91" s="2"/>
      <c r="AG91" s="2"/>
      <c r="AH91" s="1"/>
      <c r="AI91" s="38" t="str">
        <f t="shared" si="5"/>
        <v>0x00000056</v>
      </c>
      <c r="AJ91" s="42"/>
      <c r="AK91" s="2"/>
      <c r="AL91" s="83"/>
      <c r="AM91" s="84"/>
      <c r="AN91" s="84"/>
      <c r="AO91" s="84"/>
      <c r="AP91" s="85"/>
      <c r="AQ91" s="3"/>
      <c r="AR91" s="3"/>
    </row>
    <row r="92" spans="5:44" x14ac:dyDescent="0.3">
      <c r="E92" s="22"/>
      <c r="F92" s="30"/>
      <c r="G92" s="30"/>
      <c r="H92" s="30"/>
      <c r="I92" s="30"/>
      <c r="J92" s="21"/>
      <c r="K92" s="30"/>
      <c r="L92" s="30"/>
      <c r="M92" s="30"/>
      <c r="N92" s="30"/>
      <c r="O92" s="30"/>
      <c r="P92" s="21"/>
      <c r="AB92" s="40">
        <v>89</v>
      </c>
      <c r="AC92" s="38" t="str">
        <f t="shared" si="4"/>
        <v>0x00000059</v>
      </c>
      <c r="AD92" s="42"/>
      <c r="AE92" s="2"/>
      <c r="AF92" s="2"/>
      <c r="AG92" s="2"/>
      <c r="AH92" s="1"/>
      <c r="AI92" s="38" t="str">
        <f t="shared" si="5"/>
        <v>0x00000057</v>
      </c>
      <c r="AJ92" s="42"/>
      <c r="AK92" s="2"/>
      <c r="AL92" s="83"/>
      <c r="AM92" s="84"/>
      <c r="AN92" s="84"/>
      <c r="AO92" s="84"/>
      <c r="AP92" s="85"/>
      <c r="AQ92" s="3"/>
      <c r="AR92" s="3"/>
    </row>
    <row r="93" spans="5:44" x14ac:dyDescent="0.3">
      <c r="E93" s="22"/>
      <c r="F93" s="30"/>
      <c r="G93" s="30"/>
      <c r="H93" s="30"/>
      <c r="I93" s="30"/>
      <c r="J93" s="21"/>
      <c r="K93" s="30"/>
      <c r="L93" s="30"/>
      <c r="M93" s="30"/>
      <c r="N93" s="30"/>
      <c r="O93" s="30"/>
      <c r="P93" s="21"/>
      <c r="AB93" s="40">
        <v>90</v>
      </c>
      <c r="AC93" s="38" t="str">
        <f t="shared" si="4"/>
        <v>0x0000005A</v>
      </c>
      <c r="AD93" s="42"/>
      <c r="AE93" s="2"/>
      <c r="AF93" s="2"/>
      <c r="AG93" s="2"/>
      <c r="AH93" s="1"/>
      <c r="AI93" s="38" t="str">
        <f t="shared" si="5"/>
        <v>0x00000058</v>
      </c>
      <c r="AJ93" s="42"/>
      <c r="AK93" s="2"/>
      <c r="AL93" s="83"/>
      <c r="AM93" s="84"/>
      <c r="AN93" s="84"/>
      <c r="AO93" s="84"/>
      <c r="AP93" s="85"/>
      <c r="AQ93" s="3"/>
      <c r="AR93" s="3"/>
    </row>
    <row r="94" spans="5:44" x14ac:dyDescent="0.3">
      <c r="E94" s="22"/>
      <c r="F94" s="30"/>
      <c r="G94" s="30"/>
      <c r="H94" s="30"/>
      <c r="I94" s="30"/>
      <c r="J94" s="21"/>
      <c r="K94" s="30"/>
      <c r="L94" s="30"/>
      <c r="M94" s="30"/>
      <c r="N94" s="30"/>
      <c r="O94" s="30"/>
      <c r="P94" s="21"/>
      <c r="AB94" s="40">
        <v>91</v>
      </c>
      <c r="AC94" s="38" t="str">
        <f t="shared" si="4"/>
        <v>0x0000005B</v>
      </c>
      <c r="AD94" s="42"/>
      <c r="AE94" s="2"/>
      <c r="AF94" s="2"/>
      <c r="AG94" s="2"/>
      <c r="AH94" s="1"/>
      <c r="AI94" s="38" t="str">
        <f t="shared" si="5"/>
        <v>0x00000059</v>
      </c>
      <c r="AJ94" s="42"/>
      <c r="AK94" s="2"/>
      <c r="AL94" s="83"/>
      <c r="AM94" s="84"/>
      <c r="AN94" s="84"/>
      <c r="AO94" s="84"/>
      <c r="AP94" s="85"/>
      <c r="AQ94" s="3"/>
      <c r="AR94" s="3"/>
    </row>
    <row r="95" spans="5:44" x14ac:dyDescent="0.3">
      <c r="E95" s="22"/>
      <c r="F95" s="30"/>
      <c r="G95" s="30"/>
      <c r="H95" s="30"/>
      <c r="I95" s="30"/>
      <c r="J95" s="21"/>
      <c r="K95" s="30"/>
      <c r="L95" s="30"/>
      <c r="M95" s="30"/>
      <c r="N95" s="30"/>
      <c r="O95" s="30"/>
      <c r="P95" s="21"/>
      <c r="AB95" s="40">
        <v>92</v>
      </c>
      <c r="AC95" s="38" t="str">
        <f t="shared" si="4"/>
        <v>0x0000005C</v>
      </c>
      <c r="AD95" s="42"/>
      <c r="AE95" s="2"/>
      <c r="AF95" s="2"/>
      <c r="AG95" s="2"/>
      <c r="AH95" s="1"/>
      <c r="AI95" s="38" t="str">
        <f t="shared" si="5"/>
        <v>0x0000005A</v>
      </c>
      <c r="AJ95" s="42"/>
      <c r="AK95" s="2"/>
      <c r="AL95" s="83"/>
      <c r="AM95" s="84"/>
      <c r="AN95" s="84"/>
      <c r="AO95" s="84"/>
      <c r="AP95" s="85"/>
      <c r="AQ95" s="3"/>
      <c r="AR95" s="3"/>
    </row>
    <row r="96" spans="5:44" x14ac:dyDescent="0.3">
      <c r="E96" s="22"/>
      <c r="F96" s="30"/>
      <c r="G96" s="30"/>
      <c r="H96" s="30"/>
      <c r="I96" s="30"/>
      <c r="J96" s="21"/>
      <c r="K96" s="30"/>
      <c r="L96" s="30"/>
      <c r="M96" s="30"/>
      <c r="N96" s="30"/>
      <c r="O96" s="30"/>
      <c r="P96" s="21"/>
      <c r="AB96" s="40">
        <v>93</v>
      </c>
      <c r="AC96" s="38" t="str">
        <f t="shared" si="4"/>
        <v>0x0000005D</v>
      </c>
      <c r="AD96" s="42"/>
      <c r="AE96" s="2"/>
      <c r="AF96" s="2"/>
      <c r="AG96" s="2"/>
      <c r="AH96" s="1"/>
      <c r="AI96" s="38" t="str">
        <f t="shared" si="5"/>
        <v>0x0000005B</v>
      </c>
      <c r="AJ96" s="42"/>
      <c r="AK96" s="2"/>
      <c r="AL96" s="83"/>
      <c r="AM96" s="84"/>
      <c r="AN96" s="84"/>
      <c r="AO96" s="84"/>
      <c r="AP96" s="85"/>
      <c r="AQ96" s="3"/>
      <c r="AR96" s="3"/>
    </row>
    <row r="97" spans="5:44" x14ac:dyDescent="0.3">
      <c r="E97" s="22"/>
      <c r="F97" s="30"/>
      <c r="G97" s="30"/>
      <c r="H97" s="30"/>
      <c r="I97" s="30"/>
      <c r="J97" s="21"/>
      <c r="K97" s="30"/>
      <c r="L97" s="30"/>
      <c r="M97" s="30"/>
      <c r="N97" s="30"/>
      <c r="O97" s="30"/>
      <c r="P97" s="21"/>
      <c r="AB97" s="40">
        <v>94</v>
      </c>
      <c r="AC97" s="38" t="str">
        <f t="shared" si="4"/>
        <v>0x0000005E</v>
      </c>
      <c r="AD97" s="42"/>
      <c r="AE97" s="2"/>
      <c r="AF97" s="2"/>
      <c r="AG97" s="2"/>
      <c r="AH97" s="1"/>
      <c r="AI97" s="38" t="str">
        <f t="shared" si="5"/>
        <v>0x0000005C</v>
      </c>
      <c r="AJ97" s="42"/>
      <c r="AK97" s="2"/>
      <c r="AL97" s="83"/>
      <c r="AM97" s="84"/>
      <c r="AN97" s="84"/>
      <c r="AO97" s="84"/>
      <c r="AP97" s="85"/>
      <c r="AQ97" s="3"/>
      <c r="AR97" s="3"/>
    </row>
    <row r="98" spans="5:44" x14ac:dyDescent="0.3">
      <c r="E98" s="22"/>
      <c r="F98" s="30"/>
      <c r="G98" s="30"/>
      <c r="H98" s="30"/>
      <c r="I98" s="30"/>
      <c r="J98" s="21"/>
      <c r="K98" s="30"/>
      <c r="L98" s="30"/>
      <c r="M98" s="30"/>
      <c r="N98" s="30"/>
      <c r="O98" s="30"/>
      <c r="P98" s="21"/>
      <c r="AB98" s="40">
        <v>95</v>
      </c>
      <c r="AC98" s="38" t="str">
        <f t="shared" si="4"/>
        <v>0x0000005F</v>
      </c>
      <c r="AD98" s="42"/>
      <c r="AE98" s="2"/>
      <c r="AF98" s="2"/>
      <c r="AG98" s="2"/>
      <c r="AH98" s="1"/>
      <c r="AI98" s="38" t="str">
        <f t="shared" si="5"/>
        <v>0x0000005D</v>
      </c>
      <c r="AJ98" s="42"/>
      <c r="AK98" s="2"/>
      <c r="AL98" s="83"/>
      <c r="AM98" s="84"/>
      <c r="AN98" s="84"/>
      <c r="AO98" s="84"/>
      <c r="AP98" s="85"/>
      <c r="AQ98" s="3"/>
      <c r="AR98" s="3"/>
    </row>
    <row r="99" spans="5:44" x14ac:dyDescent="0.3">
      <c r="E99" s="22"/>
      <c r="F99" s="30"/>
      <c r="G99" s="30"/>
      <c r="H99" s="30"/>
      <c r="I99" s="30"/>
      <c r="J99" s="21"/>
      <c r="K99" s="30"/>
      <c r="L99" s="30"/>
      <c r="M99" s="30"/>
      <c r="N99" s="30"/>
      <c r="O99" s="30"/>
      <c r="P99" s="21"/>
      <c r="AB99" s="40">
        <v>96</v>
      </c>
      <c r="AC99" s="38" t="str">
        <f t="shared" si="4"/>
        <v>0x00000060</v>
      </c>
      <c r="AD99" s="42"/>
      <c r="AE99" s="2"/>
      <c r="AF99" s="2"/>
      <c r="AG99" s="2"/>
      <c r="AH99" s="1"/>
      <c r="AI99" s="38" t="str">
        <f t="shared" si="5"/>
        <v>0x0000005E</v>
      </c>
      <c r="AJ99" s="42"/>
      <c r="AK99" s="2"/>
      <c r="AL99" s="83"/>
      <c r="AM99" s="84"/>
      <c r="AN99" s="84"/>
      <c r="AO99" s="84"/>
      <c r="AP99" s="85"/>
      <c r="AQ99" s="3"/>
      <c r="AR99" s="3"/>
    </row>
    <row r="100" spans="5:44" x14ac:dyDescent="0.3">
      <c r="E100" s="22"/>
      <c r="F100" s="30"/>
      <c r="G100" s="30"/>
      <c r="H100" s="30"/>
      <c r="I100" s="30"/>
      <c r="J100" s="21"/>
      <c r="K100" s="30"/>
      <c r="L100" s="30"/>
      <c r="M100" s="30"/>
      <c r="N100" s="30"/>
      <c r="O100" s="30"/>
      <c r="P100" s="21"/>
      <c r="AB100" s="40">
        <v>97</v>
      </c>
      <c r="AC100" s="38" t="str">
        <f t="shared" si="4"/>
        <v>0x00000061</v>
      </c>
      <c r="AD100" s="42"/>
      <c r="AE100" s="2"/>
      <c r="AF100" s="2"/>
      <c r="AG100" s="2"/>
      <c r="AH100" s="1"/>
      <c r="AI100" s="38" t="str">
        <f t="shared" si="5"/>
        <v>0x0000005F</v>
      </c>
      <c r="AJ100" s="42"/>
      <c r="AK100" s="2"/>
      <c r="AL100" s="83"/>
      <c r="AM100" s="84"/>
      <c r="AN100" s="84"/>
      <c r="AO100" s="84"/>
      <c r="AP100" s="85"/>
      <c r="AQ100" s="3"/>
      <c r="AR100" s="3"/>
    </row>
    <row r="101" spans="5:44" ht="15" thickBot="1" x14ac:dyDescent="0.35">
      <c r="E101" s="22"/>
      <c r="F101" s="30"/>
      <c r="G101" s="30"/>
      <c r="H101" s="30"/>
      <c r="I101" s="30"/>
      <c r="J101" s="21"/>
      <c r="K101" s="30"/>
      <c r="L101" s="30"/>
      <c r="M101" s="30"/>
      <c r="N101" s="30"/>
      <c r="O101" s="30"/>
      <c r="P101" s="21"/>
      <c r="AB101" s="40">
        <v>98</v>
      </c>
      <c r="AC101" s="38" t="str">
        <f t="shared" si="4"/>
        <v>0x00000062</v>
      </c>
      <c r="AD101" s="42"/>
      <c r="AE101" s="2"/>
      <c r="AF101" s="2"/>
      <c r="AG101" s="2"/>
      <c r="AH101" s="1"/>
      <c r="AI101" s="39" t="str">
        <f t="shared" si="5"/>
        <v>0x00000060</v>
      </c>
      <c r="AJ101" s="43"/>
      <c r="AK101" s="2"/>
      <c r="AL101" s="86"/>
      <c r="AM101" s="87"/>
      <c r="AN101" s="87"/>
      <c r="AO101" s="87"/>
      <c r="AP101" s="88"/>
      <c r="AQ101" s="3"/>
      <c r="AR101" s="3"/>
    </row>
    <row r="102" spans="5:44" ht="15" thickBot="1" x14ac:dyDescent="0.35">
      <c r="E102" s="24"/>
      <c r="F102" s="31"/>
      <c r="G102" s="31"/>
      <c r="H102" s="31"/>
      <c r="I102" s="31"/>
      <c r="J102" s="23"/>
      <c r="K102" s="31"/>
      <c r="L102" s="31"/>
      <c r="M102" s="31"/>
      <c r="N102" s="31"/>
      <c r="O102" s="31"/>
      <c r="P102" s="23"/>
      <c r="AB102" s="40">
        <v>99</v>
      </c>
      <c r="AC102" s="39" t="str">
        <f t="shared" si="4"/>
        <v>0x00000063</v>
      </c>
      <c r="AD102" s="43"/>
      <c r="AE102" s="2"/>
      <c r="AF102" s="2"/>
      <c r="AG102" s="2"/>
      <c r="AH102" s="4"/>
      <c r="AI102" s="5"/>
      <c r="AJ102" s="5"/>
      <c r="AK102" s="5"/>
      <c r="AL102" s="5"/>
      <c r="AM102" s="5"/>
      <c r="AN102" s="5"/>
      <c r="AO102" s="5"/>
      <c r="AP102" s="5"/>
      <c r="AQ102" s="6"/>
      <c r="AR102" s="3"/>
    </row>
    <row r="103" spans="5:44" ht="15" thickBot="1" x14ac:dyDescent="0.35">
      <c r="AB103" s="4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6"/>
    </row>
  </sheetData>
  <mergeCells count="24">
    <mergeCell ref="AC2:AD2"/>
    <mergeCell ref="AH2:AQ2"/>
    <mergeCell ref="AI4:AJ4"/>
    <mergeCell ref="AL4:AP101"/>
    <mergeCell ref="AB1:AR1"/>
    <mergeCell ref="C2:Y2"/>
    <mergeCell ref="E74:J74"/>
    <mergeCell ref="K74:P74"/>
    <mergeCell ref="N30:O30"/>
    <mergeCell ref="N29:O29"/>
    <mergeCell ref="N35:O35"/>
    <mergeCell ref="N36:O36"/>
    <mergeCell ref="N39:O39"/>
    <mergeCell ref="N40:O40"/>
    <mergeCell ref="D4:O4"/>
    <mergeCell ref="D14:J14"/>
    <mergeCell ref="G18:I18"/>
    <mergeCell ref="G19:I19"/>
    <mergeCell ref="L14:Q14"/>
    <mergeCell ref="E6:F6"/>
    <mergeCell ref="H6:I6"/>
    <mergeCell ref="K6:L6"/>
    <mergeCell ref="T4:U4"/>
    <mergeCell ref="W4:X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Simulador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MARTINEZ SANCHEZ</dc:creator>
  <cp:lastModifiedBy>JORGE MARTINEZ SANCHEZ</cp:lastModifiedBy>
  <cp:lastPrinted>2025-10-04T22:46:30Z</cp:lastPrinted>
  <dcterms:created xsi:type="dcterms:W3CDTF">2025-10-03T21:49:54Z</dcterms:created>
  <dcterms:modified xsi:type="dcterms:W3CDTF">2025-10-05T19:13:32Z</dcterms:modified>
</cp:coreProperties>
</file>